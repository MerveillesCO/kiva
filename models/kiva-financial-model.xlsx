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757c48ae4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2d124bafd848aa"/>
    <x:sheet xmlns:r="http://schemas.openxmlformats.org/officeDocument/2006/relationships" name="Assumptions" sheetId="2" r:id="R42bd77e05a764e54"/>
    <x:sheet xmlns:r="http://schemas.openxmlformats.org/officeDocument/2006/relationships" name="Five-year model" sheetId="3" r:id="Rd5af6a6bf5bf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($#,##0);-"/>
    <x:numFmt numFmtId="201" formatCode="0"/>
    <x:numFmt numFmtId="202" formatCode="#,##0"/>
    <x:numFmt numFmtId="203" formatCode="0.0%"/>
    <x:numFmt numFmtId="204" formatCode="0.0"/>
  </x:numFmts>
  <x:fonts count="11">
    <x:font>
      <x:sz val="11"/>
      <x:name val="Carlito"/>
    </x:font>
    <x:font>
      <x:sz val="10"/>
      <x:color rgb="FF252525"/>
      <x:name val="Arial"/>
    </x:font>
    <x:font>
      <x:b/>
      <x:sz val="14"/>
      <x:color rgb="FF283618"/>
      <x:name val="Arial"/>
    </x:font>
    <x:font>
      <x:b/>
      <x:sz val="10"/>
      <x:color rgb="FF252525"/>
      <x:name val="Arial"/>
    </x:font>
    <x:font>
      <x:b/>
      <x:sz val="10"/>
      <x:color rgb="FF0000FF"/>
      <x:name val="Arial"/>
    </x:font>
    <x:font>
      <x:i/>
      <x:sz val="10"/>
      <x:color rgb="FF252525"/>
      <x:name val="Arial"/>
    </x:font>
    <x:font>
      <x:b/>
      <x:sz val="10"/>
      <x:color rgb="FF2E7D32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283618"/>
      <x:name val="Arial"/>
    </x:font>
    <x:font>
      <x:sz val="10"/>
      <x:color rgb="FF2E7D3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D35E"/>
      </x:patternFill>
    </x:fill>
    <x:fill>
      <x:patternFill patternType="solid">
        <x:fgColor rgb="FF283618"/>
      </x:patternFill>
    </x:fill>
    <x:fill>
      <x:patternFill patternType="solid">
        <x:fgColor rgb="FFF3F4E8"/>
      </x:patternFill>
    </x:fill>
    <x:fill>
      <x:patternFill patternType="solid">
        <x:fgColor rgb="FFFEFAE0"/>
      </x:patternFill>
    </x:fill>
  </x:fills>
  <x:borders count="5">
    <x:border/>
    <x:border>
      <x:bottom style="thin">
        <x:color rgb="FF606C38"/>
      </x:bottom>
    </x:border>
    <x:border>
      <x:left style="dashed">
        <x:color rgb="FF606C38"/>
      </x:left>
      <x:right style="dashed">
        <x:color rgb="FF606C38"/>
      </x:right>
      <x:top style="dashed">
        <x:color rgb="FF606C38"/>
      </x:top>
      <x:bottom style="dashed">
        <x:color rgb="FF606C38"/>
      </x:bottom>
    </x:border>
    <x:border>
      <x:bottom style="thin">
        <x:color rgb="FFD8D8C8"/>
      </x:bottom>
    </x:border>
    <x:border>
      <x:bottom style="thin">
        <x:color rgb="FFDDDDCC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1" fontId="6" fillId="0" borderId="0" xfId="0" applyNumberFormat="1" applyFont="1" applyFill="1" applyBorder="1"/>
    <x:xf numFmtId="201" fontId="7" fillId="0" borderId="0" xfId="0" applyNumberFormat="1" applyFont="1" applyFill="1" applyBorder="1"/>
    <x:xf numFmtId="0" fontId="1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/>
    <x:xf numFmtId="201" fontId="6" fillId="0" borderId="3" xfId="0" applyNumberFormat="1" applyFont="1" applyFill="1" applyBorder="1"/>
    <x:xf numFmtId="201" fontId="7" fillId="0" borderId="3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0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4" borderId="0" xfId="0" applyNumberFormat="1" applyFont="1" applyFill="1" applyBorder="1"/>
    <x:xf numFmtId="203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1" fillId="0" borderId="4" xfId="0" applyNumberFormat="1" applyFont="1" applyFill="1" applyBorder="1"/>
    <x:xf numFmtId="203" fontId="1" fillId="0" borderId="4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horizontal="center"/>
    </x:xf>
    <x:xf numFmtId="204" fontId="1" fillId="0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888908e864122" /><Relationship Type="http://schemas.openxmlformats.org/officeDocument/2006/relationships/theme" Target="/xl/theme/theme1.xml" Id="R7ff54e18e0de4396" /><Relationship Type="http://schemas.openxmlformats.org/officeDocument/2006/relationships/sharedStrings" Target="/xl/sharedStrings.xml" Id="R6a9f30d8f20f4a96" /><Relationship Type="http://schemas.openxmlformats.org/officeDocument/2006/relationships/worksheet" Target="/xl/worksheets/sheet1.xml" Id="Rf22d124bafd848aa" /><Relationship Type="http://schemas.openxmlformats.org/officeDocument/2006/relationships/worksheet" Target="/xl/worksheets/sheet2.xml" Id="R42bd77e05a764e54" /><Relationship Type="http://schemas.openxmlformats.org/officeDocument/2006/relationships/worksheet" Target="/xl/worksheets/sheet3.xml" Id="Rd5af6a6bf5bf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3618"/>
  </x:sheetPr>
  <x:sheetViews>
    <x:sheetView showGridLines="0" workbookViewId="0"/>
  </x:sheetViews>
  <x:sheetFormatPr defaultRowHeight="15"/>
  <x:cols>
    <x:col min="3" max="3" width="35" hidden="0" customWidth="1"/>
    <x:col min="4" max="4" width="18" hidden="0" customWidth="1"/>
    <x:col min="5" max="5" width="20" hidden="0" customWidth="1"/>
    <x:col min="6" max="6" width="20" hidden="0" customWidth="1"/>
  </x:cols>
  <x:sheetData>
    <x:row r="1" ht="15" hidden="0" customHeight="1">
      <x:c r="A1" s="1"/>
      <x:c r="B1" s="1"/>
      <x:c r="C1" s="48"/>
      <x:c r="D1" s="48"/>
      <x:c r="E1" s="48"/>
      <x:c r="F1" s="48"/>
      <x:c r="G1" s="48"/>
      <x:c r="H1" s="48"/>
      <x:c r="I1" s="48"/>
      <x:c r="J1" s="1"/>
      <x:c r="K1" s="1"/>
      <x:c r="L1" s="1"/>
      <x:c r="M1" s="1"/>
      <x:c r="N1" s="1"/>
    </x:row>
    <x:row r="2" ht="16.799999237060547" hidden="0" customHeight="1">
      <x:c r="A2" s="1"/>
      <x:c r="B2" s="1"/>
      <x:c r="C2" s="49" t="str">
        <x:v>Kiva financial decision summary</x:v>
      </x:c>
      <x:c r="D2" s="49"/>
      <x:c r="E2" s="49"/>
      <x:c r="F2" s="49"/>
      <x:c r="G2" s="49"/>
      <x:c r="H2" s="49"/>
      <x:c r="I2" s="49"/>
      <x:c r="J2" s="2"/>
      <x:c r="K2" s="2"/>
      <x:c r="L2" s="2"/>
      <x:c r="M2" s="2"/>
      <x:c r="N2" s="2"/>
    </x:row>
    <x:row r="3" ht="15" hidden="0" customHeight="1">
      <x:c r="A3" s="1"/>
      <x:c r="B3" s="1"/>
      <x:c r="C3" s="50"/>
      <x:c r="D3" s="50"/>
      <x:c r="E3" s="50"/>
      <x:c r="F3" s="50"/>
      <x:c r="G3" s="50"/>
      <x:c r="H3" s="50"/>
      <x:c r="I3" s="50"/>
      <x:c r="J3" s="3"/>
      <x:c r="K3" s="3"/>
      <x:c r="L3" s="3"/>
      <x:c r="M3" s="3"/>
      <x:c r="N3" s="3"/>
    </x:row>
    <x:row r="4" ht="15" hidden="0" customHeight="1">
      <x:c r="A4" s="1"/>
      <x:c r="B4" s="1"/>
      <x:c r="C4" s="48"/>
      <x:c r="D4" s="48"/>
      <x:c r="E4" s="48"/>
      <x:c r="F4" s="48"/>
      <x:c r="G4" s="48"/>
      <x:c r="H4" s="48"/>
      <x:c r="I4" s="48"/>
      <x:c r="J4" s="1"/>
      <x:c r="K4" s="1"/>
      <x:c r="L4" s="1"/>
      <x:c r="M4" s="1"/>
      <x:c r="N4" s="1"/>
    </x:row>
    <x:row r="5" ht="15" hidden="0" customHeight="1">
      <x:c r="A5" s="1"/>
      <x:c r="B5" s="1"/>
      <x:c r="C5" s="48" t="str">
        <x:v>Case selected</x:v>
      </x:c>
      <x:c r="D5" s="51" t="str">
        <x:f>CHOOSE(Assumptions!$D$5,"Pilot","Seasonal","Permanent")</x:f>
        <x:v>Seasonal</x:v>
      </x:c>
      <x:c r="E5" s="48"/>
      <x:c r="F5" s="48"/>
      <x:c r="G5" s="48"/>
      <x:c r="H5" s="48"/>
      <x:c r="I5" s="48"/>
      <x:c r="J5" s="1"/>
      <x:c r="K5" s="1"/>
      <x:c r="L5" s="1"/>
      <x:c r="M5" s="1"/>
      <x:c r="N5" s="1"/>
    </x:row>
    <x:row r="6" ht="15" hidden="0" customHeight="1">
      <x:c r="A6" s="1"/>
      <x:c r="B6" s="1"/>
      <x:c r="C6" s="48"/>
      <x:c r="D6" s="48"/>
      <x:c r="E6" s="48"/>
      <x:c r="F6" s="48"/>
      <x:c r="G6" s="48"/>
      <x:c r="H6" s="48"/>
      <x:c r="I6" s="48"/>
      <x:c r="J6" s="1"/>
      <x:c r="K6" s="1"/>
      <x:c r="L6" s="1"/>
      <x:c r="M6" s="1"/>
      <x:c r="N6" s="1"/>
    </x:row>
    <x:row r="7" ht="15" hidden="0" customHeight="1">
      <x:c r="A7" s="1"/>
      <x:c r="B7" s="1"/>
      <x:c r="C7" s="48"/>
      <x:c r="D7" s="48"/>
      <x:c r="E7" s="48"/>
      <x:c r="F7" s="48"/>
      <x:c r="G7" s="48"/>
      <x:c r="H7" s="48"/>
      <x:c r="I7" s="48"/>
      <x:c r="J7" s="1"/>
      <x:c r="K7" s="1"/>
      <x:c r="L7" s="1"/>
      <x:c r="M7" s="1"/>
      <x:c r="N7" s="1"/>
    </x:row>
    <x:row r="8" ht="15" hidden="0" customHeight="1">
      <x:c r="A8" s="1"/>
      <x:c r="B8" s="1"/>
      <x:c r="C8" s="52" t="str">
        <x:v>Selected-case annual run rate</x:v>
      </x:c>
      <x:c r="D8" s="52"/>
      <x:c r="E8" s="48"/>
      <x:c r="F8" s="48"/>
      <x:c r="G8" s="48"/>
      <x:c r="H8" s="48"/>
      <x:c r="I8" s="48"/>
      <x:c r="J8" s="1"/>
      <x:c r="K8" s="1"/>
      <x:c r="L8" s="1"/>
      <x:c r="M8" s="1"/>
      <x:c r="N8" s="1"/>
    </x:row>
    <x:row r="9" ht="15" hidden="0" customHeight="1">
      <x:c r="A9" s="1"/>
      <x:c r="B9" s="1"/>
      <x:c r="C9" s="48" t="str">
        <x:v>Annual revenue</x:v>
      </x:c>
      <x:c r="D9" s="53" t="n">
        <x:f>Assumptions!D9*Assumptions!D10*Assumptions!D11</x:f>
        <x:v>45600</x:v>
      </x:c>
      <x:c r="E9" s="48"/>
      <x:c r="F9" s="48"/>
      <x:c r="G9" s="48"/>
      <x:c r="H9" s="48"/>
      <x:c r="I9" s="48"/>
      <x:c r="J9" s="1"/>
      <x:c r="K9" s="1"/>
      <x:c r="L9" s="1"/>
      <x:c r="M9" s="1"/>
      <x:c r="N9" s="1"/>
    </x:row>
    <x:row r="10" ht="15" hidden="0" customHeight="1">
      <x:c r="A10" s="1"/>
      <x:c r="B10" s="1"/>
      <x:c r="C10" s="48" t="str">
        <x:v>Operating contribution</x:v>
      </x:c>
      <x:c r="D10" s="53" t="n">
        <x:f>D9-Assumptions!D9*Assumptions!D10*Assumptions!D12-Assumptions!D9*Assumptions!D13-Assumptions!D14</x:f>
        <x:v>3360</x:v>
      </x:c>
      <x:c r="E10" s="48"/>
      <x:c r="F10" s="48"/>
      <x:c r="G10" s="48"/>
      <x:c r="H10" s="48"/>
      <x:c r="I10" s="48"/>
      <x:c r="J10" s="1"/>
      <x:c r="K10" s="1"/>
      <x:c r="L10" s="1"/>
      <x:c r="M10" s="1"/>
      <x:c r="N10" s="1"/>
    </x:row>
    <x:row r="11" ht="15" hidden="0" customHeight="1">
      <x:c r="A11" s="1"/>
      <x:c r="B11" s="1"/>
      <x:c r="C11" s="48" t="str">
        <x:v>Operating margin</x:v>
      </x:c>
      <x:c r="D11" s="54" t="n">
        <x:f>IF(D9=0,"n.a.",D10/D9)</x:f>
        <x:v>0.07368421052631578</x:v>
      </x:c>
      <x:c r="E11" s="48"/>
      <x:c r="F11" s="48"/>
      <x:c r="G11" s="48"/>
      <x:c r="H11" s="48"/>
      <x:c r="I11" s="48"/>
      <x:c r="J11" s="1"/>
      <x:c r="K11" s="1"/>
      <x:c r="L11" s="1"/>
      <x:c r="M11" s="1"/>
      <x:c r="N11" s="1"/>
    </x:row>
    <x:row r="12" ht="15" hidden="0" customHeight="1">
      <x:c r="A12" s="1"/>
      <x:c r="B12" s="1"/>
      <x:c r="C12" s="48" t="str">
        <x:v>Capital invested</x:v>
      </x:c>
      <x:c r="D12" s="53" t="n">
        <x:f>Assumptions!D15</x:f>
        <x:v>50000</x:v>
      </x:c>
      <x:c r="E12" s="48"/>
      <x:c r="F12" s="48"/>
      <x:c r="G12" s="48"/>
      <x:c r="H12" s="48"/>
      <x:c r="I12" s="48"/>
      <x:c r="J12" s="1"/>
      <x:c r="K12" s="1"/>
      <x:c r="L12" s="1"/>
      <x:c r="M12" s="1"/>
      <x:c r="N12" s="1"/>
    </x:row>
    <x:row r="13" ht="15" hidden="0" customHeight="1">
      <x:c r="A13" s="1"/>
      <x:c r="B13" s="1"/>
      <x:c r="C13" s="48" t="str">
        <x:v>Value contribution assumption</x:v>
      </x:c>
      <x:c r="D13" s="53" t="n">
        <x:f>Assumptions!D16</x:f>
        <x:v>10000</x:v>
      </x:c>
      <x:c r="E13" s="48"/>
      <x:c r="F13" s="48"/>
      <x:c r="G13" s="48"/>
      <x:c r="H13" s="48"/>
      <x:c r="I13" s="48"/>
      <x:c r="J13" s="1"/>
      <x:c r="K13" s="1"/>
      <x:c r="L13" s="1"/>
      <x:c r="M13" s="1"/>
      <x:c r="N13" s="1"/>
    </x:row>
    <x:row r="14" ht="15" hidden="0" customHeight="1">
      <x:c r="A14" s="1"/>
      <x:c r="B14" s="1"/>
      <x:c r="C14" s="48" t="str">
        <x:v>Net capital requiring recovery</x:v>
      </x:c>
      <x:c r="D14" s="53" t="n">
        <x:f>MAX(0,D12-D13)</x:f>
        <x:v>40000</x:v>
      </x:c>
      <x:c r="E14" s="48"/>
      <x:c r="F14" s="48"/>
      <x:c r="G14" s="48"/>
      <x:c r="H14" s="48"/>
      <x:c r="I14" s="48"/>
      <x:c r="J14" s="1"/>
      <x:c r="K14" s="1"/>
      <x:c r="L14" s="1"/>
      <x:c r="M14" s="1"/>
      <x:c r="N14" s="1"/>
    </x:row>
    <x:row r="15" ht="15" hidden="0" customHeight="1">
      <x:c r="A15" s="1"/>
      <x:c r="B15" s="1"/>
      <x:c r="C15" s="48"/>
      <x:c r="D15" s="48"/>
      <x:c r="E15" s="48"/>
      <x:c r="F15" s="48"/>
      <x:c r="G15" s="48"/>
      <x:c r="H15" s="48"/>
      <x:c r="I15" s="48"/>
      <x:c r="J15" s="1"/>
      <x:c r="K15" s="1"/>
      <x:c r="L15" s="1"/>
      <x:c r="M15" s="1"/>
      <x:c r="N15" s="1"/>
    </x:row>
    <x:row r="16" ht="15" hidden="0" customHeight="1">
      <x:c r="A16" s="1"/>
      <x:c r="B16" s="1"/>
      <x:c r="C16" s="48" t="str">
        <x:v>Case comparison</x:v>
      </x:c>
      <x:c r="D16" s="48" t="str">
        <x:v>Pilot</x:v>
      </x:c>
      <x:c r="E16" s="48" t="str">
        <x:v>Seasonal</x:v>
      </x:c>
      <x:c r="F16" s="48" t="str">
        <x:v>Permanent</x:v>
      </x:c>
      <x:c r="G16" s="48"/>
      <x:c r="H16" s="48"/>
      <x:c r="I16" s="48"/>
      <x:c r="J16" s="1"/>
      <x:c r="K16" s="1"/>
      <x:c r="L16" s="1"/>
      <x:c r="M16" s="1"/>
      <x:c r="N16" s="1"/>
    </x:row>
    <x:row r="17" ht="15" hidden="0" customHeight="1">
      <x:c r="A17" s="1"/>
      <x:c r="B17" s="1"/>
      <x:c r="C17" s="55" t="str">
        <x:v>Metric</x:v>
      </x:c>
      <x:c r="D17" s="55" t="str">
        <x:v>Pilot</x:v>
      </x:c>
      <x:c r="E17" s="55" t="str">
        <x:v>Seasonal</x:v>
      </x:c>
      <x:c r="F17" s="55" t="str">
        <x:v>Permanent</x:v>
      </x:c>
      <x:c r="G17" s="48"/>
      <x:c r="H17" s="48"/>
      <x:c r="I17" s="48"/>
      <x:c r="J17" s="1"/>
      <x:c r="K17" s="1"/>
      <x:c r="L17" s="1"/>
      <x:c r="M17" s="1"/>
      <x:c r="N17" s="1"/>
    </x:row>
    <x:row r="18" ht="15" hidden="0" customHeight="1">
      <x:c r="A18" s="1"/>
      <x:c r="B18" s="1"/>
      <x:c r="C18" s="48" t="str">
        <x:v>Annual covers</x:v>
      </x:c>
      <x:c r="D18" s="56" t="n">
        <x:f>Assumptions!E9*Assumptions!E10</x:f>
        <x:v>80</x:v>
      </x:c>
      <x:c r="E18" s="56" t="n">
        <x:f>Assumptions!F9*Assumptions!F10</x:f>
        <x:v>480</x:v>
      </x:c>
      <x:c r="F18" s="56" t="n">
        <x:f>Assumptions!G9*Assumptions!G10</x:f>
        <x:v>1440</x:v>
      </x:c>
      <x:c r="G18" s="48"/>
      <x:c r="H18" s="48"/>
      <x:c r="I18" s="48"/>
      <x:c r="J18" s="1"/>
      <x:c r="K18" s="1"/>
      <x:c r="L18" s="1"/>
      <x:c r="M18" s="1"/>
      <x:c r="N18" s="1"/>
    </x:row>
    <x:row r="19" ht="15" hidden="0" customHeight="1">
      <x:c r="A19" s="1"/>
      <x:c r="B19" s="1"/>
      <x:c r="C19" s="48" t="str">
        <x:v>Annual revenue</x:v>
      </x:c>
      <x:c r="D19" s="53" t="n">
        <x:f>D18*Assumptions!E11</x:f>
        <x:v>5600</x:v>
      </x:c>
      <x:c r="E19" s="53" t="n">
        <x:f>E18*Assumptions!F11</x:f>
        <x:v>45600</x:v>
      </x:c>
      <x:c r="F19" s="53" t="n">
        <x:f>F18*Assumptions!G11</x:f>
        <x:v>151200</x:v>
      </x:c>
      <x:c r="G19" s="48"/>
      <x:c r="H19" s="48"/>
      <x:c r="I19" s="48"/>
      <x:c r="J19" s="1"/>
      <x:c r="K19" s="1"/>
      <x:c r="L19" s="1"/>
      <x:c r="M19" s="1"/>
      <x:c r="N19" s="1"/>
    </x:row>
    <x:row r="20" ht="15" hidden="0" customHeight="1">
      <x:c r="A20" s="1"/>
      <x:c r="B20" s="1"/>
      <x:c r="C20" s="48" t="str">
        <x:v>Operating contribution</x:v>
      </x:c>
      <x:c r="D20" s="53" t="n">
        <x:f>D19-D18*Assumptions!E12-Assumptions!E9*Assumptions!E13-Assumptions!E14</x:f>
        <x:v>-3800</x:v>
      </x:c>
      <x:c r="E20" s="53" t="n">
        <x:f>E19-E18*Assumptions!F12-Assumptions!F9*Assumptions!F13-Assumptions!F14</x:f>
        <x:v>3360</x:v>
      </x:c>
      <x:c r="F20" s="53" t="n">
        <x:f>F19-F18*Assumptions!G12-Assumptions!G9*Assumptions!G13-Assumptions!G14</x:f>
        <x:v>28000</x:v>
      </x:c>
      <x:c r="G20" s="48"/>
      <x:c r="H20" s="48"/>
      <x:c r="I20" s="48"/>
      <x:c r="J20" s="1"/>
      <x:c r="K20" s="1"/>
      <x:c r="L20" s="1"/>
      <x:c r="M20" s="1"/>
      <x:c r="N20" s="1"/>
    </x:row>
    <x:row r="21" ht="15" hidden="0" customHeight="1">
      <x:c r="A21" s="1"/>
      <x:c r="B21" s="1"/>
      <x:c r="C21" s="48" t="str">
        <x:v>Operating margin</x:v>
      </x:c>
      <x:c r="D21" s="54" t="n">
        <x:f>IF(D19=0,"n.a.",D20/D19)</x:f>
        <x:v>-0.6785714285714286</x:v>
      </x:c>
      <x:c r="E21" s="54" t="n">
        <x:f>IF(E19=0,"n.a.",E20/E19)</x:f>
        <x:v>0.07368421052631578</x:v>
      </x:c>
      <x:c r="F21" s="54" t="n">
        <x:f>IF(F19=0,"n.a.",F20/F19)</x:f>
        <x:v>0.18518518518518517</x:v>
      </x:c>
      <x:c r="G21" s="48"/>
      <x:c r="H21" s="48"/>
      <x:c r="I21" s="48"/>
      <x:c r="J21" s="1"/>
      <x:c r="K21" s="1"/>
      <x:c r="L21" s="1"/>
      <x:c r="M21" s="1"/>
      <x:c r="N21" s="1"/>
    </x:row>
    <x:row r="22" ht="15" hidden="0" customHeight="1">
      <x:c r="A22" s="1"/>
      <x:c r="B22" s="1"/>
      <x:c r="C22" s="48" t="str">
        <x:v>Net capital requiring recovery</x:v>
      </x:c>
      <x:c r="D22" s="53" t="n">
        <x:f>MAX(0,Assumptions!E15-Assumptions!E16)</x:f>
        <x:v>10000</x:v>
      </x:c>
      <x:c r="E22" s="53" t="n">
        <x:f>MAX(0,Assumptions!F15-Assumptions!F16)</x:f>
        <x:v>40000</x:v>
      </x:c>
      <x:c r="F22" s="53" t="n">
        <x:f>MAX(0,Assumptions!G15-Assumptions!G16)</x:f>
        <x:v>258000</x:v>
      </x:c>
      <x:c r="G22" s="48"/>
      <x:c r="H22" s="48"/>
      <x:c r="I22" s="48"/>
      <x:c r="J22" s="1"/>
      <x:c r="K22" s="1"/>
      <x:c r="L22" s="1"/>
      <x:c r="M22" s="1"/>
      <x:c r="N22" s="1"/>
    </x:row>
    <x:row r="23" ht="15" hidden="0" customHeight="1">
      <x:c r="A23" s="1"/>
      <x:c r="B23" s="1"/>
      <x:c r="C23" s="48" t="str">
        <x:v>Annual recovery target</x:v>
      </x:c>
      <x:c r="D23" s="53" t="n">
        <x:f>D22/Assumptions!E17</x:f>
        <x:v>3333.3333333333335</x:v>
      </x:c>
      <x:c r="E23" s="53" t="n">
        <x:f>E22/Assumptions!F17</x:f>
        <x:v>8000</x:v>
      </x:c>
      <x:c r="F23" s="53" t="n">
        <x:f>F22/Assumptions!G17</x:f>
        <x:v>25800</x:v>
      </x:c>
      <x:c r="G23" s="48"/>
      <x:c r="H23" s="48"/>
      <x:c r="I23" s="48"/>
      <x:c r="J23" s="1"/>
      <x:c r="K23" s="1"/>
      <x:c r="L23" s="1"/>
      <x:c r="M23" s="1"/>
      <x:c r="N23" s="1"/>
    </x:row>
    <x:row r="24" ht="15" hidden="0" customHeight="1">
      <x:c r="A24" s="1"/>
      <x:c r="B24" s="1"/>
      <x:c r="C24" s="57" t="str">
        <x:v>Covers/night including recovery</x:v>
      </x:c>
      <x:c r="D24" s="58" t="n">
        <x:f>IF(OR(Assumptions!E9=0,Assumptions!E11&lt;=Assumptions!E12),"n.a.",(Assumptions!E9*Assumptions!E13+Assumptions!E14+D23)/(Assumptions!E9*(Assumptions!E11-Assumptions!E12)))</x:f>
        <x:v>32.29166666666667</x:v>
      </x:c>
      <x:c r="E24" s="58" t="n">
        <x:f>IF(OR(Assumptions!F9=0,Assumptions!F11&lt;=Assumptions!F12),"n.a.",(Assumptions!F9*Assumptions!F13+Assumptions!F14+E23)/(Assumptions!F9*(Assumptions!F11-Assumptions!F12)))</x:f>
        <x:v>23.391812865497077</x:v>
      </x:c>
      <x:c r="F24" s="58" t="n">
        <x:f>IF(OR(Assumptions!G9=0,Assumptions!G11&lt;=Assumptions!G12),"n.a.",(Assumptions!G9*Assumptions!G13+Assumptions!G14+F23)/(Assumptions!G9*(Assumptions!G11-Assumptions!G12)))</x:f>
        <x:v>35.083333333333336</x:v>
      </x:c>
      <x:c r="G24" s="48"/>
      <x:c r="H24" s="48"/>
      <x:c r="I24" s="48"/>
      <x:c r="J24" s="1"/>
      <x:c r="K24" s="1"/>
      <x:c r="L24" s="1"/>
      <x:c r="M24" s="1"/>
      <x:c r="N24" s="1"/>
    </x:row>
    <x:row r="25" ht="15" hidden="0" customHeight="1">
      <x:c r="A25" s="1"/>
      <x:c r="B25" s="1"/>
      <x:c r="C25" s="48"/>
      <x:c r="D25" s="48"/>
      <x:c r="E25" s="48"/>
      <x:c r="F25" s="48"/>
      <x:c r="G25" s="48"/>
      <x:c r="H25" s="48"/>
      <x:c r="I25" s="48"/>
      <x:c r="J25" s="1"/>
      <x:c r="K25" s="1"/>
      <x:c r="L25" s="1"/>
      <x:c r="M25" s="1"/>
      <x:c r="N25" s="1"/>
    </x:row>
    <x:row r="26" ht="15" hidden="0" customHeight="1">
      <x:c r="A26" s="1"/>
      <x:c r="B26" s="1"/>
      <x:c r="C26" s="48"/>
      <x:c r="D26" s="48"/>
      <x:c r="E26" s="48"/>
      <x:c r="F26" s="48"/>
      <x:c r="G26" s="48"/>
      <x:c r="H26" s="48"/>
      <x:c r="I26" s="48"/>
      <x:c r="J26" s="1"/>
      <x:c r="K26" s="1"/>
      <x:c r="L26" s="1"/>
      <x:c r="M26" s="1"/>
      <x:c r="N26" s="1"/>
    </x:row>
    <x:row r="27" ht="15" hidden="0" customHeight="1">
      <x:c r="A27" s="1"/>
      <x:c r="B27" s="1"/>
      <x:c r="C27" s="55" t="str">
        <x:v>Decision rule</x:v>
      </x:c>
      <x:c r="D27" s="55" t="str">
        <x:v>Current result</x:v>
      </x:c>
      <x:c r="E27" s="55" t="str">
        <x:v>Target</x:v>
      </x:c>
      <x:c r="F27" s="55" t="str">
        <x:v>Status</x:v>
      </x:c>
      <x:c r="G27" s="48"/>
      <x:c r="H27" s="48"/>
      <x:c r="I27" s="48"/>
      <x:c r="J27" s="1"/>
      <x:c r="K27" s="1"/>
      <x:c r="L27" s="1"/>
      <x:c r="M27" s="1"/>
      <x:c r="N27" s="1"/>
    </x:row>
    <x:row r="28" ht="15" hidden="0" customHeight="1">
      <x:c r="A28" s="1"/>
      <x:c r="B28" s="1"/>
      <x:c r="C28" s="48" t="str">
        <x:v>Permanent annual revenue</x:v>
      </x:c>
      <x:c r="D28" s="53" t="n">
        <x:f>F19</x:f>
        <x:v>151200</x:v>
      </x:c>
      <x:c r="E28" s="53" t="n">
        <x:v>150000</x:v>
      </x:c>
      <x:c r="F28" s="48" t="str">
        <x:f>IF(D28&gt;=E28,"MEETS","DOES NOT MEET")</x:f>
        <x:v>MEETS</x:v>
      </x:c>
      <x:c r="G28" s="48"/>
      <x:c r="H28" s="48"/>
      <x:c r="I28" s="48"/>
      <x:c r="J28" s="1"/>
      <x:c r="K28" s="1"/>
      <x:c r="L28" s="1"/>
      <x:c r="M28" s="1"/>
      <x:c r="N28" s="1"/>
    </x:row>
    <x:row r="29" ht="15" hidden="0" customHeight="1">
      <x:c r="A29" s="1"/>
      <x:c r="B29" s="1"/>
      <x:c r="C29" s="48" t="str">
        <x:v>Permanent operating margin</x:v>
      </x:c>
      <x:c r="D29" s="54" t="n">
        <x:f>F21</x:f>
        <x:v>0.18518518518518517</x:v>
      </x:c>
      <x:c r="E29" s="54" t="n">
        <x:v>0.35</x:v>
      </x:c>
      <x:c r="F29" s="48" t="str">
        <x:f>IF(D29&gt;=E29,"MEETS","DOES NOT MEET")</x:f>
        <x:v>DOES NOT MEET</x:v>
      </x:c>
      <x:c r="G29" s="48"/>
      <x:c r="H29" s="48"/>
      <x:c r="I29" s="48"/>
      <x:c r="J29" s="1"/>
      <x:c r="K29" s="1"/>
      <x:c r="L29" s="1"/>
      <x:c r="M29" s="1"/>
      <x:c r="N29" s="1"/>
    </x:row>
    <x:row r="30" ht="15" hidden="0" customHeight="1">
      <x:c r="A30" s="1"/>
      <x:c r="B30" s="1"/>
      <x:c r="C30" s="48" t="str">
        <x:v>Five-year cumulative cash after capital</x:v>
      </x:c>
      <x:c r="D30" s="53" t="n">
        <x:f>'Five-year model'!I26</x:f>
        <x:v>-393272</x:v>
      </x:c>
      <x:c r="E30" s="53" t="n">
        <x:v>0</x:v>
      </x:c>
      <x:c r="F30" s="48" t="str">
        <x:f>IF(D30&gt;=E30,"MEETS","DOES NOT MEET")</x:f>
        <x:v>DOES NOT MEET</x:v>
      </x:c>
      <x:c r="G30" s="48"/>
      <x:c r="H30" s="48"/>
      <x:c r="I30" s="48"/>
      <x:c r="J30" s="1"/>
      <x:c r="K30" s="1"/>
      <x:c r="L30" s="1"/>
      <x:c r="M30" s="1"/>
      <x:c r="N30" s="1"/>
    </x:row>
    <x:row r="31" ht="15" hidden="0" customHeight="1">
      <x:c r="A31" s="1"/>
      <x:c r="B31" s="1"/>
      <x:c r="C31" s="48" t="str">
        <x:v>Land-use approval</x:v>
      </x:c>
      <x:c r="D31" s="48" t="str">
        <x:v>Not received</x:v>
      </x:c>
      <x:c r="E31" s="48" t="str">
        <x:v>Written viable path</x:v>
      </x:c>
      <x:c r="F31" s="48" t="str">
        <x:v>OPEN</x:v>
      </x:c>
      <x:c r="G31" s="48"/>
      <x:c r="H31" s="48"/>
      <x:c r="I31" s="48"/>
      <x:c r="J31" s="1"/>
      <x:c r="K31" s="1"/>
      <x:c r="L31" s="1"/>
      <x:c r="M31" s="1"/>
      <x:c r="N31" s="1"/>
    </x:row>
    <x:row r="32" ht="15" hidden="0" customHeight="1">
      <x:c r="A32" s="1"/>
      <x:c r="B32" s="1"/>
      <x:c r="C32" s="48"/>
      <x:c r="D32" s="48"/>
      <x:c r="E32" s="48"/>
      <x:c r="F32" s="48"/>
      <x:c r="G32" s="48"/>
      <x:c r="H32" s="48"/>
      <x:c r="I32" s="48"/>
      <x:c r="J32" s="1"/>
      <x:c r="K32" s="1"/>
      <x:c r="L32" s="1"/>
      <x:c r="M32" s="1"/>
      <x:c r="N32" s="1"/>
    </x:row>
    <x:row r="33" ht="15" hidden="0" customHeight="1">
      <x:c r="A33" s="1"/>
      <x:c r="B33" s="1"/>
      <x:c r="C33" s="48"/>
      <x:c r="D33" s="48"/>
      <x:c r="E33" s="48"/>
      <x:c r="F33" s="48"/>
      <x:c r="G33" s="48"/>
      <x:c r="H33" s="48"/>
      <x:c r="I33" s="48"/>
      <x:c r="J33" s="1"/>
      <x:c r="K33" s="1"/>
      <x:c r="L33" s="1"/>
      <x:c r="M33" s="1"/>
      <x:c r="N33" s="1"/>
    </x:row>
    <x:row r="34" ht="44" hidden="0" customHeight="1">
      <x:c r="A34" s="1"/>
      <x:c r="B34" s="1"/>
      <x:c r="C34" s="59" t="str">
        <x:v>Interpretation</x:v>
      </x:c>
      <x:c r="D34" s="60" t="str">
        <x:v>The pilot validates menu and demand. The permanent case only becomes investable after land-use approval, utility quotes, appraised value evidence, and operating results meet the stated gates.</x:v>
      </x:c>
      <x:c r="E34" s="60"/>
      <x:c r="F34" s="60"/>
      <x:c r="G34" s="48"/>
      <x:c r="H34" s="48"/>
      <x:c r="I34" s="48"/>
      <x:c r="J34" s="1"/>
      <x:c r="K34" s="1"/>
      <x:c r="L34" s="1"/>
      <x:c r="M34" s="1"/>
      <x:c r="N34" s="1"/>
    </x:row>
    <x:row r="35" ht="44" hidden="0" customHeight="1">
      <x:c r="A35" s="1"/>
      <x:c r="B35" s="1"/>
      <x:c r="C35" s="59" t="str">
        <x:v>Property value</x:v>
      </x:c>
      <x:c r="D35" s="60" t="str">
        <x:v>Value contribution is an editable assumption, not revenue or cash. It reduces the capital that operations must economically justify but does not fund construction.</x:v>
      </x:c>
      <x:c r="E35" s="60"/>
      <x:c r="F35" s="60"/>
      <x:c r="G35" s="48"/>
      <x:c r="H35" s="48"/>
      <x:c r="I35" s="48"/>
      <x:c r="J35" s="1"/>
      <x:c r="K35" s="1"/>
      <x:c r="L35" s="1"/>
      <x:c r="M35" s="1"/>
      <x:c r="N35" s="1"/>
    </x:row>
    <x:row r="36" ht="15" hidden="0" customHeight="1">
      <x:c r="A36" s="1"/>
      <x:c r="B36" s="1"/>
      <x:c r="C36" s="48"/>
      <x:c r="D36" s="48"/>
      <x:c r="E36" s="48"/>
      <x:c r="F36" s="48"/>
      <x:c r="G36" s="48"/>
      <x:c r="H36" s="48"/>
      <x:c r="I36" s="48"/>
      <x:c r="J36" s="1"/>
      <x:c r="K36" s="1"/>
      <x:c r="L36" s="1"/>
      <x:c r="M36" s="1"/>
      <x:c r="N36" s="1"/>
    </x:row>
    <x:row r="37" ht="15" hidden="0" customHeight="1">
      <x:c r="A37" s="1"/>
      <x:c r="B37" s="1"/>
      <x:c r="C37" s="48"/>
      <x:c r="D37" s="48"/>
      <x:c r="E37" s="48"/>
      <x:c r="F37" s="48"/>
      <x:c r="G37" s="48"/>
      <x:c r="H37" s="48"/>
      <x:c r="I37" s="48"/>
      <x:c r="J37" s="1"/>
      <x:c r="K37" s="1"/>
      <x:c r="L37" s="1"/>
      <x:c r="M37" s="1"/>
      <x:c r="N37" s="1"/>
    </x:row>
    <x:row r="38" ht="15" hidden="0" customHeight="1">
      <x:c r="A38" s="1"/>
      <x:c r="B38" s="1"/>
      <x:c r="C38" s="48"/>
      <x:c r="D38" s="48"/>
      <x:c r="E38" s="48"/>
      <x:c r="F38" s="48"/>
      <x:c r="G38" s="48"/>
      <x:c r="H38" s="48"/>
      <x:c r="I38" s="48"/>
      <x:c r="J38" s="1"/>
      <x:c r="K38" s="1"/>
      <x:c r="L38" s="1"/>
      <x:c r="M38" s="1"/>
      <x:c r="N38" s="1"/>
    </x:row>
    <x:row r="39" ht="15" hidden="0" customHeight="1">
      <x:c r="A39" s="1"/>
      <x:c r="B39" s="1"/>
      <x:c r="C39" s="48"/>
      <x:c r="D39" s="48"/>
      <x:c r="E39" s="48"/>
      <x:c r="F39" s="48"/>
      <x:c r="G39" s="48"/>
      <x:c r="H39" s="48"/>
      <x:c r="I39" s="48"/>
      <x:c r="J39" s="1"/>
      <x:c r="K39" s="1"/>
      <x:c r="L39" s="1"/>
      <x:c r="M39" s="1"/>
      <x:c r="N39" s="1"/>
    </x:row>
    <x:row r="40" ht="15" hidden="0" customHeight="1">
      <x:c r="A40" s="1"/>
      <x:c r="B40" s="1"/>
      <x:c r="C40" s="48"/>
      <x:c r="D40" s="48"/>
      <x:c r="E40" s="48"/>
      <x:c r="F40" s="48"/>
      <x:c r="G40" s="48"/>
      <x:c r="H40" s="48"/>
      <x:c r="I40" s="48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mergeCells>
    <x:mergeCell ref="D34:F34"/>
    <x:mergeCell ref="D35:F35"/>
  </x:mergeCells>
  <x:conditionalFormatting sqref="F28:F31">
    <x:cfRule type="containsText" dxfId="0" priority="1" operator="containsText" text="DOES NOT MEET"/>
    <x:cfRule type="containsText" dxfId="1" priority="2" operator="containsText" text="OP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6C3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3" max="3" width="35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48"/>
      <x:c r="D1" s="48"/>
      <x:c r="E1" s="48"/>
      <x:c r="F1" s="48"/>
      <x:c r="G1" s="48"/>
      <x:c r="H1" s="48"/>
      <x:c r="I1" s="48"/>
      <x:c r="J1" s="1"/>
      <x:c r="K1" s="1"/>
      <x:c r="L1" s="1"/>
      <x:c r="M1" s="1"/>
      <x:c r="N1" s="1"/>
    </x:row>
    <x:row r="2" ht="16.799999237060547" hidden="0" customHeight="1">
      <x:c r="A2" s="1"/>
      <x:c r="B2" s="1"/>
      <x:c r="C2" s="49" t="str">
        <x:v>Kiva financial assumptions</x:v>
      </x:c>
      <x:c r="D2" s="49"/>
      <x:c r="E2" s="49"/>
      <x:c r="F2" s="49"/>
      <x:c r="G2" s="49"/>
      <x:c r="H2" s="49"/>
      <x:c r="I2" s="48"/>
      <x:c r="J2" s="1"/>
      <x:c r="K2" s="1"/>
      <x:c r="L2" s="1"/>
      <x:c r="M2" s="1"/>
      <x:c r="N2" s="1"/>
    </x:row>
    <x:row r="3" ht="15" hidden="0" customHeight="1">
      <x:c r="A3" s="1"/>
      <x:c r="B3" s="1"/>
      <x:c r="C3" s="50"/>
      <x:c r="D3" s="50"/>
      <x:c r="E3" s="50"/>
      <x:c r="F3" s="50"/>
      <x:c r="G3" s="50"/>
      <x:c r="H3" s="50"/>
      <x:c r="I3" s="48"/>
      <x:c r="J3" s="1"/>
      <x:c r="K3" s="1"/>
      <x:c r="L3" s="1"/>
      <x:c r="M3" s="1"/>
      <x:c r="N3" s="1"/>
    </x:row>
    <x:row r="4" ht="15" hidden="0" customHeight="1">
      <x:c r="A4" s="1"/>
      <x:c r="B4" s="1"/>
      <x:c r="C4" s="48"/>
      <x:c r="D4" s="48"/>
      <x:c r="E4" s="48"/>
      <x:c r="F4" s="48"/>
      <x:c r="G4" s="48"/>
      <x:c r="H4" s="48"/>
      <x:c r="I4" s="48"/>
      <x:c r="J4" s="1"/>
      <x:c r="K4" s="1"/>
      <x:c r="L4" s="1"/>
      <x:c r="M4" s="1"/>
      <x:c r="N4" s="1"/>
    </x:row>
    <x:row r="5" ht="15" hidden="0" customHeight="1">
      <x:c r="A5" s="1"/>
      <x:c r="B5" s="1"/>
      <x:c r="C5" s="59" t="str">
        <x:v>Case selected</x:v>
      </x:c>
      <x:c r="D5" s="61" t="n">
        <x:v>2</x:v>
      </x:c>
      <x:c r="E5" s="48"/>
      <x:c r="F5" s="62" t="str">
        <x:v>1 = Pilot</x:v>
      </x:c>
      <x:c r="G5" s="62" t="str">
        <x:v>2 = Seasonal</x:v>
      </x:c>
      <x:c r="H5" s="62" t="str">
        <x:v>3 = Permanent</x:v>
      </x:c>
      <x:c r="I5" s="48"/>
      <x:c r="J5" s="1"/>
      <x:c r="K5" s="1"/>
      <x:c r="L5" s="1"/>
      <x:c r="M5" s="1"/>
      <x:c r="N5" s="1"/>
    </x:row>
    <x:row r="6" ht="15" hidden="0" customHeight="1">
      <x:c r="A6" s="1"/>
      <x:c r="B6" s="1"/>
      <x:c r="C6" s="48"/>
      <x:c r="D6" s="48"/>
      <x:c r="E6" s="48"/>
      <x:c r="F6" s="48"/>
      <x:c r="G6" s="48"/>
      <x:c r="H6" s="48"/>
      <x:c r="I6" s="48"/>
      <x:c r="J6" s="1"/>
      <x:c r="K6" s="1"/>
      <x:c r="L6" s="1"/>
      <x:c r="M6" s="1"/>
      <x:c r="N6" s="1"/>
    </x:row>
    <x:row r="7" ht="15" hidden="0" customHeight="1">
      <x:c r="A7" s="1"/>
      <x:c r="B7" s="1"/>
      <x:c r="C7" s="48"/>
      <x:c r="D7" s="48"/>
      <x:c r="E7" s="48"/>
      <x:c r="F7" s="48"/>
      <x:c r="G7" s="48"/>
      <x:c r="H7" s="48"/>
      <x:c r="I7" s="48"/>
      <x:c r="J7" s="1"/>
      <x:c r="K7" s="1"/>
      <x:c r="L7" s="1"/>
      <x:c r="M7" s="1"/>
      <x:c r="N7" s="1"/>
    </x:row>
    <x:row r="8" ht="15" hidden="0" customHeight="1">
      <x:c r="A8" s="1"/>
      <x:c r="B8" s="1"/>
      <x:c r="C8" s="63" t="str">
        <x:v>Driver</x:v>
      </x:c>
      <x:c r="D8" s="63" t="str">
        <x:v>Active selection</x:v>
      </x:c>
      <x:c r="E8" s="63" t="str">
        <x:v>Pilot</x:v>
      </x:c>
      <x:c r="F8" s="63" t="str">
        <x:v>Seasonal</x:v>
      </x:c>
      <x:c r="G8" s="63" t="str">
        <x:v>Permanent</x:v>
      </x:c>
      <x:c r="H8" s="63" t="str">
        <x:v>Units</x:v>
      </x:c>
      <x:c r="I8" s="48"/>
      <x:c r="J8" s="1"/>
      <x:c r="K8" s="1"/>
      <x:c r="L8" s="1"/>
      <x:c r="M8" s="1"/>
      <x:c r="N8" s="1"/>
    </x:row>
    <x:row r="9" ht="15" hidden="0" customHeight="1">
      <x:c r="A9" s="1"/>
      <x:c r="B9" s="1"/>
      <x:c r="C9" s="48" t="str">
        <x:v>Operating nights</x:v>
      </x:c>
      <x:c r="D9" s="64" t="n">
        <x:f>CHOOSE($D$5,E9,F9,G9)</x:f>
        <x:v>24</x:v>
      </x:c>
      <x:c r="E9" s="65" t="n">
        <x:v>8</x:v>
      </x:c>
      <x:c r="F9" s="65" t="n">
        <x:v>24</x:v>
      </x:c>
      <x:c r="G9" s="65" t="n">
        <x:v>40</x:v>
      </x:c>
      <x:c r="H9" s="48" t="str">
        <x:v>nights/year</x:v>
      </x:c>
      <x:c r="I9" s="48"/>
      <x:c r="J9" s="1"/>
      <x:c r="K9" s="1"/>
      <x:c r="L9" s="1"/>
      <x:c r="M9" s="1"/>
      <x:c r="N9" s="1"/>
    </x:row>
    <x:row r="10" ht="15" hidden="0" customHeight="1">
      <x:c r="A10" s="1"/>
      <x:c r="B10" s="1"/>
      <x:c r="C10" s="48" t="str">
        <x:v>Average covers</x:v>
      </x:c>
      <x:c r="D10" s="64" t="n">
        <x:f>CHOOSE($D$5,E10,F10,G10)</x:f>
        <x:v>20</x:v>
      </x:c>
      <x:c r="E10" s="65" t="n">
        <x:v>10</x:v>
      </x:c>
      <x:c r="F10" s="65" t="n">
        <x:v>20</x:v>
      </x:c>
      <x:c r="G10" s="65" t="n">
        <x:v>36</x:v>
      </x:c>
      <x:c r="H10" s="48" t="str">
        <x:v>covers/night</x:v>
      </x:c>
      <x:c r="I10" s="48"/>
      <x:c r="J10" s="1"/>
      <x:c r="K10" s="1"/>
      <x:c r="L10" s="1"/>
      <x:c r="M10" s="1"/>
      <x:c r="N10" s="1"/>
    </x:row>
    <x:row r="11" ht="15" hidden="0" customHeight="1">
      <x:c r="A11" s="1"/>
      <x:c r="B11" s="1"/>
      <x:c r="C11" s="48" t="str">
        <x:v>Revenue per cover</x:v>
      </x:c>
      <x:c r="D11" s="66" t="n">
        <x:f>CHOOSE($D$5,E11,F11,G11)</x:f>
        <x:v>95</x:v>
      </x:c>
      <x:c r="E11" s="67" t="n">
        <x:v>70</x:v>
      </x:c>
      <x:c r="F11" s="67" t="n">
        <x:v>95</x:v>
      </x:c>
      <x:c r="G11" s="67" t="n">
        <x:v>105</x:v>
      </x:c>
      <x:c r="H11" s="48" t="str">
        <x:v>$/cover</x:v>
      </x:c>
      <x:c r="I11" s="48"/>
      <x:c r="J11" s="1"/>
      <x:c r="K11" s="1"/>
      <x:c r="L11" s="1"/>
      <x:c r="M11" s="1"/>
      <x:c r="N11" s="1"/>
    </x:row>
    <x:row r="12" ht="15" hidden="0" customHeight="1">
      <x:c r="A12" s="1"/>
      <x:c r="B12" s="1"/>
      <x:c r="C12" s="48" t="str">
        <x:v>Variable cost per cover</x:v>
      </x:c>
      <x:c r="D12" s="66" t="n">
        <x:f>CHOOSE($D$5,E12,F12,G12)</x:f>
        <x:v>38</x:v>
      </x:c>
      <x:c r="E12" s="67" t="n">
        <x:v>30</x:v>
      </x:c>
      <x:c r="F12" s="67" t="n">
        <x:v>38</x:v>
      </x:c>
      <x:c r="G12" s="67" t="n">
        <x:v>45</x:v>
      </x:c>
      <x:c r="H12" s="48" t="str">
        <x:v>$/cover</x:v>
      </x:c>
      <x:c r="I12" s="48"/>
      <x:c r="J12" s="1"/>
      <x:c r="K12" s="1"/>
      <x:c r="L12" s="1"/>
      <x:c r="M12" s="1"/>
      <x:c r="N12" s="1"/>
    </x:row>
    <x:row r="13" ht="15" hidden="0" customHeight="1">
      <x:c r="A13" s="1"/>
      <x:c r="B13" s="1"/>
      <x:c r="C13" s="48" t="str">
        <x:v>Direct cost per night</x:v>
      </x:c>
      <x:c r="D13" s="66" t="n">
        <x:f>CHOOSE($D$5,E13,F13,G13)</x:f>
        <x:v>500</x:v>
      </x:c>
      <x:c r="E13" s="67" t="n">
        <x:v>250</x:v>
      </x:c>
      <x:c r="F13" s="67" t="n">
        <x:v>500</x:v>
      </x:c>
      <x:c r="G13" s="67" t="n">
        <x:v>835</x:v>
      </x:c>
      <x:c r="H13" s="48" t="str">
        <x:v>$/night</x:v>
      </x:c>
      <x:c r="I13" s="48"/>
      <x:c r="J13" s="1"/>
      <x:c r="K13" s="1"/>
      <x:c r="L13" s="1"/>
      <x:c r="M13" s="1"/>
      <x:c r="N13" s="1"/>
    </x:row>
    <x:row r="14" ht="15" hidden="0" customHeight="1">
      <x:c r="A14" s="1"/>
      <x:c r="B14" s="1"/>
      <x:c r="C14" s="48" t="str">
        <x:v>Annual fixed operating cost</x:v>
      </x:c>
      <x:c r="D14" s="66" t="n">
        <x:f>CHOOSE($D$5,E14,F14,G14)</x:f>
        <x:v>12000</x:v>
      </x:c>
      <x:c r="E14" s="67" t="n">
        <x:v>5000</x:v>
      </x:c>
      <x:c r="F14" s="67" t="n">
        <x:v>12000</x:v>
      </x:c>
      <x:c r="G14" s="67" t="n">
        <x:v>25000</x:v>
      </x:c>
      <x:c r="H14" s="48" t="str">
        <x:v>$/year</x:v>
      </x:c>
      <x:c r="I14" s="48"/>
      <x:c r="J14" s="1"/>
      <x:c r="K14" s="1"/>
      <x:c r="L14" s="1"/>
      <x:c r="M14" s="1"/>
      <x:c r="N14" s="1"/>
    </x:row>
    <x:row r="15" ht="15" hidden="0" customHeight="1">
      <x:c r="A15" s="1"/>
      <x:c r="B15" s="1"/>
      <x:c r="C15" s="48" t="str">
        <x:v>Capital invested</x:v>
      </x:c>
      <x:c r="D15" s="66" t="n">
        <x:f>CHOOSE($D$5,E15,F15,G15)</x:f>
        <x:v>50000</x:v>
      </x:c>
      <x:c r="E15" s="67" t="n">
        <x:v>10000</x:v>
      </x:c>
      <x:c r="F15" s="67" t="n">
        <x:v>50000</x:v>
      </x:c>
      <x:c r="G15" s="67" t="n">
        <x:v>430000</x:v>
      </x:c>
      <x:c r="H15" s="48" t="str">
        <x:v>$</x:v>
      </x:c>
      <x:c r="I15" s="48"/>
      <x:c r="J15" s="1"/>
      <x:c r="K15" s="1"/>
      <x:c r="L15" s="1"/>
      <x:c r="M15" s="1"/>
      <x:c r="N15" s="1"/>
    </x:row>
    <x:row r="16" ht="15" hidden="0" customHeight="1">
      <x:c r="A16" s="1"/>
      <x:c r="B16" s="1"/>
      <x:c r="C16" s="48" t="str">
        <x:v>Appraised value contribution</x:v>
      </x:c>
      <x:c r="D16" s="66" t="n">
        <x:f>CHOOSE($D$5,E16,F16,G16)</x:f>
        <x:v>10000</x:v>
      </x:c>
      <x:c r="E16" s="67" t="n">
        <x:v>0</x:v>
      </x:c>
      <x:c r="F16" s="67" t="n">
        <x:v>10000</x:v>
      </x:c>
      <x:c r="G16" s="67" t="n">
        <x:v>172000</x:v>
      </x:c>
      <x:c r="H16" s="48" t="str">
        <x:v>$</x:v>
      </x:c>
      <x:c r="I16" s="48"/>
      <x:c r="J16" s="1"/>
      <x:c r="K16" s="1"/>
      <x:c r="L16" s="1"/>
      <x:c r="M16" s="1"/>
      <x:c r="N16" s="1"/>
    </x:row>
    <x:row r="17" ht="15" hidden="0" customHeight="1">
      <x:c r="A17" s="1"/>
      <x:c r="B17" s="1"/>
      <x:c r="C17" s="68" t="str">
        <x:v>Capital recovery years</x:v>
      </x:c>
      <x:c r="D17" s="69" t="n">
        <x:f>CHOOSE($D$5,E17,F17,G17)</x:f>
        <x:v>5</x:v>
      </x:c>
      <x:c r="E17" s="70" t="n">
        <x:v>3</x:v>
      </x:c>
      <x:c r="F17" s="70" t="n">
        <x:v>5</x:v>
      </x:c>
      <x:c r="G17" s="70" t="n">
        <x:v>10</x:v>
      </x:c>
      <x:c r="H17" s="68" t="str">
        <x:v>years</x:v>
      </x:c>
      <x:c r="I17" s="48"/>
      <x:c r="J17" s="1"/>
      <x:c r="K17" s="1"/>
      <x:c r="L17" s="1"/>
      <x:c r="M17" s="1"/>
      <x:c r="N17" s="1"/>
    </x:row>
    <x:row r="18" ht="15" hidden="0" customHeight="1">
      <x:c r="A18" s="1"/>
      <x:c r="B18" s="1"/>
      <x:c r="C18" s="48"/>
      <x:c r="D18" s="48"/>
      <x:c r="E18" s="48"/>
      <x:c r="F18" s="48"/>
      <x:c r="G18" s="48"/>
      <x:c r="H18" s="48"/>
      <x:c r="I18" s="48"/>
      <x:c r="J18" s="1"/>
      <x:c r="K18" s="1"/>
      <x:c r="L18" s="1"/>
      <x:c r="M18" s="1"/>
      <x:c r="N18" s="1"/>
    </x:row>
    <x:row r="19" ht="15" hidden="0" customHeight="1">
      <x:c r="A19" s="1"/>
      <x:c r="B19" s="1"/>
      <x:c r="C19" s="48"/>
      <x:c r="D19" s="48"/>
      <x:c r="E19" s="48"/>
      <x:c r="F19" s="48"/>
      <x:c r="G19" s="48"/>
      <x:c r="H19" s="48"/>
      <x:c r="I19" s="48"/>
      <x:c r="J19" s="1"/>
      <x:c r="K19" s="1"/>
      <x:c r="L19" s="1"/>
      <x:c r="M19" s="1"/>
      <x:c r="N19" s="1"/>
    </x:row>
    <x:row r="20" ht="15" hidden="0" customHeight="1">
      <x:c r="A20" s="1"/>
      <x:c r="B20" s="1"/>
      <x:c r="C20" s="62" t="str">
        <x:v>Source note</x:v>
      </x:c>
      <x:c r="D20" s="71" t="str">
        <x:v>Pilot inputs come from the current Kiva plan. Seasonal and permanent values are planning assumptions, not quotes or forecasts.</x:v>
      </x:c>
      <x:c r="E20" s="71"/>
      <x:c r="F20" s="71"/>
      <x:c r="G20" s="71"/>
      <x:c r="H20" s="71"/>
      <x:c r="I20" s="48"/>
      <x:c r="J20" s="1"/>
      <x:c r="K20" s="1"/>
      <x:c r="L20" s="1"/>
      <x:c r="M20" s="1"/>
      <x:c r="N20" s="1"/>
    </x:row>
    <x:row r="21" ht="15" hidden="0" customHeight="1">
      <x:c r="A21" s="1"/>
      <x:c r="B21" s="1"/>
      <x:c r="C21" s="48"/>
      <x:c r="D21" s="48"/>
      <x:c r="E21" s="48"/>
      <x:c r="F21" s="48"/>
      <x:c r="G21" s="48"/>
      <x:c r="H21" s="48"/>
      <x:c r="I21" s="48"/>
      <x:c r="J21" s="1"/>
      <x:c r="K21" s="1"/>
      <x:c r="L21" s="1"/>
      <x:c r="M21" s="1"/>
      <x:c r="N21" s="1"/>
    </x:row>
    <x:row r="22" ht="15" hidden="0" customHeight="1">
      <x:c r="A22" s="1"/>
      <x:c r="B22" s="1"/>
      <x:c r="C22" s="72" t="str">
        <x:v>Sources</x:v>
      </x:c>
      <x:c r="D22" s="72" t="str">
        <x:v>Location</x:v>
      </x:c>
      <x:c r="E22" s="48"/>
      <x:c r="F22" s="48"/>
      <x:c r="G22" s="48"/>
      <x:c r="H22" s="48"/>
      <x:c r="I22" s="48"/>
      <x:c r="J22" s="1"/>
      <x:c r="K22" s="1"/>
      <x:c r="L22" s="1"/>
      <x:c r="M22" s="1"/>
      <x:c r="N22" s="1"/>
    </x:row>
    <x:row r="23" ht="15" hidden="0" customHeight="1">
      <x:c r="A23" s="1"/>
      <x:c r="B23" s="1"/>
      <x:c r="C23" s="48" t="str">
        <x:v>Kiva business plan</x:v>
      </x:c>
      <x:c r="D23" s="73" t="str">
        <x:v>https://github.com/MerveillesCO/kiva/blob/main/docs/business-plan.md</x:v>
      </x:c>
      <x:c r="E23" s="48"/>
      <x:c r="F23" s="48"/>
      <x:c r="G23" s="48"/>
      <x:c r="H23" s="48"/>
      <x:c r="I23" s="48"/>
      <x:c r="J23" s="1"/>
      <x:c r="K23" s="1"/>
      <x:c r="L23" s="1"/>
      <x:c r="M23" s="1"/>
      <x:c r="N23" s="1"/>
    </x:row>
    <x:row r="24" ht="15" hidden="0" customHeight="1">
      <x:c r="A24" s="1"/>
      <x:c r="B24" s="1"/>
      <x:c r="C24" s="48" t="str">
        <x:v>El Paso County Public Health fees</x:v>
      </x:c>
      <x:c r="D24" s="73" t="str">
        <x:v>https://www.elpasocountyhealth.org/about-public-health/regulations/</x:v>
      </x:c>
      <x:c r="E24" s="48"/>
      <x:c r="F24" s="48"/>
      <x:c r="G24" s="48"/>
      <x:c r="H24" s="48"/>
      <x:c r="I24" s="48"/>
      <x:c r="J24" s="1"/>
      <x:c r="K24" s="1"/>
      <x:c r="L24" s="1"/>
      <x:c r="M24" s="1"/>
      <x:c r="N24" s="1"/>
    </x:row>
    <x:row r="25" ht="15" hidden="0" customHeight="1">
      <x:c r="A25" s="1"/>
      <x:c r="B25" s="1"/>
      <x:c r="C25" s="48" t="str">
        <x:v>PPRBD fee schedule</x:v>
      </x:c>
      <x:c r="D25" s="73" t="str">
        <x:v>https://alpha.pprbd.org/Information/FeeSchedule</x:v>
      </x:c>
      <x:c r="E25" s="48"/>
      <x:c r="F25" s="48"/>
      <x:c r="G25" s="48"/>
      <x:c r="H25" s="48"/>
      <x:c r="I25" s="48"/>
      <x:c r="J25" s="1"/>
      <x:c r="K25" s="1"/>
      <x:c r="L25" s="1"/>
      <x:c r="M25" s="1"/>
      <x:c r="N25" s="1"/>
    </x:row>
    <x:row r="26" ht="15" hidden="0" customHeight="1">
      <x:c r="A26" s="1"/>
      <x:c r="B26" s="1"/>
      <x:c r="C26" s="48"/>
      <x:c r="D26" s="48"/>
      <x:c r="E26" s="48"/>
      <x:c r="F26" s="48"/>
      <x:c r="G26" s="48"/>
      <x:c r="H26" s="48"/>
      <x:c r="I26" s="48"/>
      <x:c r="J26" s="1"/>
      <x:c r="K26" s="1"/>
      <x:c r="L26" s="1"/>
      <x:c r="M26" s="1"/>
      <x:c r="N26" s="1"/>
    </x:row>
    <x:row r="27" ht="15" hidden="0" customHeight="1">
      <x:c r="A27" s="1"/>
      <x:c r="B27" s="1"/>
      <x:c r="C27" s="48"/>
      <x:c r="D27" s="48"/>
      <x:c r="E27" s="48"/>
      <x:c r="F27" s="48"/>
      <x:c r="G27" s="48"/>
      <x:c r="H27" s="48"/>
      <x:c r="I27" s="48"/>
      <x:c r="J27" s="1"/>
      <x:c r="K27" s="1"/>
      <x:c r="L27" s="1"/>
      <x:c r="M27" s="1"/>
      <x:c r="N27" s="1"/>
    </x:row>
    <x:row r="28" ht="15" hidden="0" customHeight="1">
      <x:c r="A28" s="1"/>
      <x:c r="B28" s="1"/>
      <x:c r="C28" s="48"/>
      <x:c r="D28" s="48"/>
      <x:c r="E28" s="48"/>
      <x:c r="F28" s="48"/>
      <x:c r="G28" s="48"/>
      <x:c r="H28" s="48"/>
      <x:c r="I28" s="48"/>
      <x:c r="J28" s="1"/>
      <x:c r="K28" s="1"/>
      <x:c r="L28" s="1"/>
      <x:c r="M28" s="1"/>
      <x:c r="N28" s="1"/>
    </x:row>
    <x:row r="29" ht="15" hidden="0" customHeight="1">
      <x:c r="A29" s="1"/>
      <x:c r="B29" s="1"/>
      <x:c r="C29" s="48"/>
      <x:c r="D29" s="48"/>
      <x:c r="E29" s="48"/>
      <x:c r="F29" s="48"/>
      <x:c r="G29" s="48"/>
      <x:c r="H29" s="48"/>
      <x:c r="I29" s="48"/>
      <x:c r="J29" s="1"/>
      <x:c r="K29" s="1"/>
      <x:c r="L29" s="1"/>
      <x:c r="M29" s="1"/>
      <x:c r="N29" s="1"/>
    </x:row>
    <x:row r="30" ht="15" hidden="0" customHeight="1">
      <x:c r="A30" s="1"/>
      <x:c r="B30" s="1"/>
      <x:c r="C30" s="48"/>
      <x:c r="D30" s="48"/>
      <x:c r="E30" s="48"/>
      <x:c r="F30" s="48"/>
      <x:c r="G30" s="48"/>
      <x:c r="H30" s="48"/>
      <x:c r="I30" s="48"/>
      <x:c r="J30" s="1"/>
      <x:c r="K30" s="1"/>
      <x:c r="L30" s="1"/>
      <x:c r="M30" s="1"/>
      <x:c r="N30" s="1"/>
    </x:row>
    <x:row r="31" ht="15" hidden="0" customHeight="1">
      <x:c r="A31" s="1"/>
      <x:c r="B31" s="1"/>
      <x:c r="C31" s="48"/>
      <x:c r="D31" s="48"/>
      <x:c r="E31" s="48"/>
      <x:c r="F31" s="48"/>
      <x:c r="G31" s="48"/>
      <x:c r="H31" s="48"/>
      <x:c r="I31" s="48"/>
      <x:c r="J31" s="1"/>
      <x:c r="K31" s="1"/>
      <x:c r="L31" s="1"/>
      <x:c r="M31" s="1"/>
      <x:c r="N31" s="1"/>
    </x:row>
    <x:row r="32" ht="15" hidden="0" customHeight="1">
      <x:c r="A32" s="1"/>
      <x:c r="B32" s="1"/>
      <x:c r="C32" s="48"/>
      <x:c r="D32" s="48"/>
      <x:c r="E32" s="48"/>
      <x:c r="F32" s="48"/>
      <x:c r="G32" s="48"/>
      <x:c r="H32" s="48"/>
      <x:c r="I32" s="48"/>
      <x:c r="J32" s="1"/>
      <x:c r="K32" s="1"/>
      <x:c r="L32" s="1"/>
      <x:c r="M32" s="1"/>
      <x:c r="N32" s="1"/>
    </x:row>
    <x:row r="33" ht="15" hidden="0" customHeight="1">
      <x:c r="A33" s="1"/>
      <x:c r="B33" s="1"/>
      <x:c r="C33" s="48"/>
      <x:c r="D33" s="48"/>
      <x:c r="E33" s="48"/>
      <x:c r="F33" s="48"/>
      <x:c r="G33" s="48"/>
      <x:c r="H33" s="48"/>
      <x:c r="I33" s="48"/>
      <x:c r="J33" s="1"/>
      <x:c r="K33" s="1"/>
      <x:c r="L33" s="1"/>
      <x:c r="M33" s="1"/>
      <x:c r="N33" s="1"/>
    </x:row>
    <x:row r="34" ht="15" hidden="0" customHeight="1">
      <x:c r="A34" s="1"/>
      <x:c r="B34" s="1"/>
      <x:c r="C34" s="48"/>
      <x:c r="D34" s="48"/>
      <x:c r="E34" s="48"/>
      <x:c r="F34" s="48"/>
      <x:c r="G34" s="48"/>
      <x:c r="H34" s="48"/>
      <x:c r="I34" s="48"/>
      <x:c r="J34" s="1"/>
      <x:c r="K34" s="1"/>
      <x:c r="L34" s="1"/>
      <x:c r="M34" s="1"/>
      <x:c r="N34" s="1"/>
    </x:row>
    <x:row r="35" ht="15" hidden="0" customHeight="1">
      <x:c r="A35" s="1"/>
      <x:c r="B35" s="1"/>
      <x:c r="C35" s="48"/>
      <x:c r="D35" s="48"/>
      <x:c r="E35" s="48"/>
      <x:c r="F35" s="48"/>
      <x:c r="G35" s="48"/>
      <x:c r="H35" s="48"/>
      <x:c r="I35" s="48"/>
      <x:c r="J35" s="1"/>
      <x:c r="K35" s="1"/>
      <x:c r="L35" s="1"/>
      <x:c r="M35" s="1"/>
      <x:c r="N35" s="1"/>
    </x:row>
    <x:row r="36" ht="15" hidden="0" customHeight="1">
      <x:c r="A36" s="1"/>
      <x:c r="B36" s="1"/>
      <x:c r="C36" s="48"/>
      <x:c r="D36" s="48"/>
      <x:c r="E36" s="48"/>
      <x:c r="F36" s="48"/>
      <x:c r="G36" s="48"/>
      <x:c r="H36" s="48"/>
      <x:c r="I36" s="48"/>
      <x:c r="J36" s="1"/>
      <x:c r="K36" s="1"/>
      <x:c r="L36" s="1"/>
      <x:c r="M36" s="1"/>
      <x:c r="N36" s="1"/>
    </x:row>
    <x:row r="37" ht="15" hidden="0" customHeight="1">
      <x:c r="A37" s="1"/>
      <x:c r="B37" s="1"/>
      <x:c r="C37" s="48"/>
      <x:c r="D37" s="48"/>
      <x:c r="E37" s="48"/>
      <x:c r="F37" s="48"/>
      <x:c r="G37" s="48"/>
      <x:c r="H37" s="48"/>
      <x:c r="I37" s="48"/>
      <x:c r="J37" s="1"/>
      <x:c r="K37" s="1"/>
      <x:c r="L37" s="1"/>
      <x:c r="M37" s="1"/>
      <x:c r="N37" s="1"/>
    </x:row>
    <x:row r="38" ht="15" hidden="0" customHeight="1">
      <x:c r="A38" s="1"/>
      <x:c r="B38" s="1"/>
      <x:c r="C38" s="48"/>
      <x:c r="D38" s="48"/>
      <x:c r="E38" s="48"/>
      <x:c r="F38" s="48"/>
      <x:c r="G38" s="48"/>
      <x:c r="H38" s="48"/>
      <x:c r="I38" s="48"/>
      <x:c r="J38" s="1"/>
      <x:c r="K38" s="1"/>
      <x:c r="L38" s="1"/>
      <x:c r="M38" s="1"/>
      <x:c r="N38" s="1"/>
    </x:row>
    <x:row r="39" ht="15" hidden="0" customHeight="1">
      <x:c r="A39" s="1"/>
      <x:c r="B39" s="1"/>
      <x:c r="C39" s="48"/>
      <x:c r="D39" s="48"/>
      <x:c r="E39" s="48"/>
      <x:c r="F39" s="48"/>
      <x:c r="G39" s="48"/>
      <x:c r="H39" s="48"/>
      <x:c r="I39" s="48"/>
      <x:c r="J39" s="1"/>
      <x:c r="K39" s="1"/>
      <x:c r="L39" s="1"/>
      <x:c r="M39" s="1"/>
      <x:c r="N39" s="1"/>
    </x:row>
    <x:row r="40" ht="15" hidden="0" customHeight="1">
      <x:c r="A40" s="1"/>
      <x:c r="B40" s="1"/>
      <x:c r="C40" s="48"/>
      <x:c r="D40" s="48"/>
      <x:c r="E40" s="48"/>
      <x:c r="F40" s="48"/>
      <x:c r="G40" s="48"/>
      <x:c r="H40" s="48"/>
      <x:c r="I40" s="48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mergeCells>
    <x:mergeCell ref="D20:H20"/>
  </x:mergeCells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15" hidden="0" customHeight="1">
      <x:c r="A1" s="1"/>
      <x:c r="B1" s="1"/>
      <x:c r="C1" s="48"/>
      <x:c r="D1" s="48"/>
      <x:c r="E1" s="48"/>
      <x:c r="F1" s="48"/>
      <x:c r="G1" s="48"/>
      <x:c r="H1" s="48"/>
      <x:c r="I1" s="48"/>
      <x:c r="J1" s="1"/>
      <x:c r="K1" s="1"/>
      <x:c r="L1" s="1"/>
      <x:c r="M1" s="1"/>
      <x:c r="N1" s="1"/>
    </x:row>
    <x:row r="2" ht="16.799999237060547" hidden="0" customHeight="1">
      <x:c r="A2" s="1"/>
      <x:c r="B2" s="1"/>
      <x:c r="C2" s="49" t="str">
        <x:v>Kiva five-year operating model</x:v>
      </x:c>
      <x:c r="D2" s="49"/>
      <x:c r="E2" s="49"/>
      <x:c r="F2" s="49"/>
      <x:c r="G2" s="49"/>
      <x:c r="H2" s="49"/>
      <x:c r="I2" s="49"/>
      <x:c r="J2" s="2"/>
      <x:c r="K2" s="2"/>
      <x:c r="L2" s="2"/>
      <x:c r="M2" s="2"/>
      <x:c r="N2" s="2"/>
    </x:row>
    <x:row r="3" ht="15" hidden="0" customHeight="1">
      <x:c r="A3" s="1"/>
      <x:c r="B3" s="1"/>
      <x:c r="C3" s="50"/>
      <x:c r="D3" s="50"/>
      <x:c r="E3" s="50"/>
      <x:c r="F3" s="50"/>
      <x:c r="G3" s="50"/>
      <x:c r="H3" s="50"/>
      <x:c r="I3" s="50"/>
      <x:c r="J3" s="3"/>
      <x:c r="K3" s="3"/>
      <x:c r="L3" s="3"/>
      <x:c r="M3" s="3"/>
      <x:c r="N3" s="3"/>
    </x:row>
    <x:row r="4" ht="15" hidden="0" customHeight="1">
      <x:c r="A4" s="1"/>
      <x:c r="B4" s="1"/>
      <x:c r="C4" s="48"/>
      <x:c r="D4" s="48"/>
      <x:c r="E4" s="48"/>
      <x:c r="F4" s="48"/>
      <x:c r="G4" s="48"/>
      <x:c r="H4" s="48"/>
      <x:c r="I4" s="48"/>
      <x:c r="J4" s="1"/>
      <x:c r="K4" s="1"/>
      <x:c r="L4" s="1"/>
      <x:c r="M4" s="1"/>
      <x:c r="N4" s="1"/>
    </x:row>
    <x:row r="5" ht="15" hidden="0" customHeight="1">
      <x:c r="A5" s="1"/>
      <x:c r="B5" s="1"/>
      <x:c r="C5" s="48" t="str">
        <x:v>Model basis</x:v>
      </x:c>
      <x:c r="D5" s="74" t="str">
        <x:v>Five-year planning ramp</x:v>
      </x:c>
      <x:c r="E5" s="48"/>
      <x:c r="F5" s="48"/>
      <x:c r="G5" s="48"/>
      <x:c r="H5" s="48"/>
      <x:c r="I5" s="48"/>
      <x:c r="J5" s="1"/>
      <x:c r="K5" s="1"/>
      <x:c r="L5" s="1"/>
      <x:c r="M5" s="1"/>
      <x:c r="N5" s="1"/>
    </x:row>
    <x:row r="6" ht="15" hidden="0" customHeight="1">
      <x:c r="A6" s="1"/>
      <x:c r="B6" s="1"/>
      <x:c r="C6" s="48"/>
      <x:c r="D6" s="48"/>
      <x:c r="E6" s="48"/>
      <x:c r="F6" s="48"/>
      <x:c r="G6" s="48"/>
      <x:c r="H6" s="48"/>
      <x:c r="I6" s="48"/>
      <x:c r="J6" s="1"/>
      <x:c r="K6" s="1"/>
      <x:c r="L6" s="1"/>
      <x:c r="M6" s="1"/>
      <x:c r="N6" s="1"/>
    </x:row>
    <x:row r="7" ht="15" hidden="0" customHeight="1">
      <x:c r="A7" s="1"/>
      <x:c r="B7" s="1"/>
      <x:c r="C7" s="48"/>
      <x:c r="D7" s="48"/>
      <x:c r="E7" s="48"/>
      <x:c r="F7" s="48"/>
      <x:c r="G7" s="48"/>
      <x:c r="H7" s="48"/>
      <x:c r="I7" s="48"/>
      <x:c r="J7" s="1"/>
      <x:c r="K7" s="1"/>
      <x:c r="L7" s="1"/>
      <x:c r="M7" s="1"/>
      <x:c r="N7" s="1"/>
    </x:row>
    <x:row r="8" ht="15" hidden="0" customHeight="1">
      <x:c r="A8" s="1"/>
      <x:c r="B8" s="1"/>
      <x:c r="C8" s="55" t="str">
        <x:v>Metric</x:v>
      </x:c>
      <x:c r="D8" s="55" t="str">
        <x:v>Year 1</x:v>
      </x:c>
      <x:c r="E8" s="55" t="str">
        <x:v>Year 2</x:v>
      </x:c>
      <x:c r="F8" s="55" t="str">
        <x:v>Year 3</x:v>
      </x:c>
      <x:c r="G8" s="55" t="str">
        <x:v>Year 4</x:v>
      </x:c>
      <x:c r="H8" s="55" t="str">
        <x:v>Year 5</x:v>
      </x:c>
      <x:c r="I8" s="55" t="str">
        <x:v>Total / ending</x:v>
      </x:c>
      <x:c r="J8" s="1"/>
      <x:c r="K8" s="1"/>
      <x:c r="L8" s="1"/>
      <x:c r="M8" s="1"/>
      <x:c r="N8" s="1"/>
    </x:row>
    <x:row r="9" ht="15" hidden="0" customHeight="1">
      <x:c r="A9" s="1"/>
      <x:c r="B9" s="1"/>
      <x:c r="C9" s="48" t="str">
        <x:v>Operating nights</x:v>
      </x:c>
      <x:c r="D9" s="65" t="n">
        <x:v>8</x:v>
      </x:c>
      <x:c r="E9" s="65" t="n">
        <x:v>16</x:v>
      </x:c>
      <x:c r="F9" s="65" t="n">
        <x:v>24</x:v>
      </x:c>
      <x:c r="G9" s="65" t="n">
        <x:v>32</x:v>
      </x:c>
      <x:c r="H9" s="65" t="n">
        <x:v>40</x:v>
      </x:c>
      <x:c r="I9" s="48" t="n">
        <x:f>SUM(D9:H9)</x:f>
        <x:v>120</x:v>
      </x:c>
      <x:c r="J9" s="1"/>
      <x:c r="K9" s="1"/>
      <x:c r="L9" s="1"/>
      <x:c r="M9" s="1"/>
      <x:c r="N9" s="1"/>
    </x:row>
    <x:row r="10" ht="15" hidden="0" customHeight="1">
      <x:c r="A10" s="1"/>
      <x:c r="B10" s="1"/>
      <x:c r="C10" s="48" t="str">
        <x:v>Average covers</x:v>
      </x:c>
      <x:c r="D10" s="65" t="n">
        <x:v>10</x:v>
      </x:c>
      <x:c r="E10" s="65" t="n">
        <x:v>14</x:v>
      </x:c>
      <x:c r="F10" s="65" t="n">
        <x:v>20</x:v>
      </x:c>
      <x:c r="G10" s="65" t="n">
        <x:v>28</x:v>
      </x:c>
      <x:c r="H10" s="65" t="n">
        <x:v>36</x:v>
      </x:c>
      <x:c r="I10" s="48"/>
      <x:c r="J10" s="1"/>
      <x:c r="K10" s="1"/>
      <x:c r="L10" s="1"/>
      <x:c r="M10" s="1"/>
      <x:c r="N10" s="1"/>
    </x:row>
    <x:row r="11" ht="15" hidden="0" customHeight="1">
      <x:c r="A11" s="1"/>
      <x:c r="B11" s="1"/>
      <x:c r="C11" s="48" t="str">
        <x:v>Annual covers</x:v>
      </x:c>
      <x:c r="D11" s="56" t="n">
        <x:f>D9*D10</x:f>
        <x:v>80</x:v>
      </x:c>
      <x:c r="E11" s="56" t="n">
        <x:f>E9*E10</x:f>
        <x:v>224</x:v>
      </x:c>
      <x:c r="F11" s="56" t="n">
        <x:f>F9*F10</x:f>
        <x:v>480</x:v>
      </x:c>
      <x:c r="G11" s="56" t="n">
        <x:f>G9*G10</x:f>
        <x:v>896</x:v>
      </x:c>
      <x:c r="H11" s="56" t="n">
        <x:f>H9*H10</x:f>
        <x:v>1440</x:v>
      </x:c>
      <x:c r="I11" s="56" t="n">
        <x:f>SUM(D11:H11)</x:f>
        <x:v>3120</x:v>
      </x:c>
      <x:c r="J11" s="1"/>
      <x:c r="K11" s="1"/>
      <x:c r="L11" s="1"/>
      <x:c r="M11" s="1"/>
      <x:c r="N11" s="1"/>
    </x:row>
    <x:row r="12" ht="15" hidden="0" customHeight="1">
      <x:c r="A12" s="1"/>
      <x:c r="B12" s="1"/>
      <x:c r="C12" s="48" t="str">
        <x:v>Revenue per cover</x:v>
      </x:c>
      <x:c r="D12" s="67" t="n">
        <x:v>70</x:v>
      </x:c>
      <x:c r="E12" s="67" t="n">
        <x:v>85</x:v>
      </x:c>
      <x:c r="F12" s="67" t="n">
        <x:v>95</x:v>
      </x:c>
      <x:c r="G12" s="67" t="n">
        <x:v>100</x:v>
      </x:c>
      <x:c r="H12" s="67" t="n">
        <x:v>105</x:v>
      </x:c>
      <x:c r="I12" s="53"/>
      <x:c r="J12" s="1"/>
      <x:c r="K12" s="1"/>
      <x:c r="L12" s="1"/>
      <x:c r="M12" s="1"/>
      <x:c r="N12" s="1"/>
    </x:row>
    <x:row r="13" ht="15" hidden="0" customHeight="1">
      <x:c r="A13" s="1"/>
      <x:c r="B13" s="1"/>
      <x:c r="C13" s="48" t="str">
        <x:v>Revenue</x:v>
      </x:c>
      <x:c r="D13" s="53" t="n">
        <x:f>D11*D12</x:f>
        <x:v>5600</x:v>
      </x:c>
      <x:c r="E13" s="53" t="n">
        <x:f>E11*E12</x:f>
        <x:v>19040</x:v>
      </x:c>
      <x:c r="F13" s="53" t="n">
        <x:f>F11*F12</x:f>
        <x:v>45600</x:v>
      </x:c>
      <x:c r="G13" s="53" t="n">
        <x:f>G11*G12</x:f>
        <x:v>89600</x:v>
      </x:c>
      <x:c r="H13" s="53" t="n">
        <x:f>H11*H12</x:f>
        <x:v>151200</x:v>
      </x:c>
      <x:c r="I13" s="53" t="n">
        <x:f>SUM(D13:H13)</x:f>
        <x:v>311040</x:v>
      </x:c>
      <x:c r="J13" s="1"/>
      <x:c r="K13" s="1"/>
      <x:c r="L13" s="1"/>
      <x:c r="M13" s="1"/>
      <x:c r="N13" s="1"/>
    </x:row>
    <x:row r="14" ht="15" hidden="0" customHeight="1">
      <x:c r="A14" s="1"/>
      <x:c r="B14" s="1"/>
      <x:c r="C14" s="48" t="str">
        <x:v>Variable cost per cover</x:v>
      </x:c>
      <x:c r="D14" s="67" t="n">
        <x:v>30</x:v>
      </x:c>
      <x:c r="E14" s="67" t="n">
        <x:v>35</x:v>
      </x:c>
      <x:c r="F14" s="67" t="n">
        <x:v>38</x:v>
      </x:c>
      <x:c r="G14" s="67" t="n">
        <x:v>42</x:v>
      </x:c>
      <x:c r="H14" s="67" t="n">
        <x:v>45</x:v>
      </x:c>
      <x:c r="I14" s="53"/>
      <x:c r="J14" s="1"/>
      <x:c r="K14" s="1"/>
      <x:c r="L14" s="1"/>
      <x:c r="M14" s="1"/>
      <x:c r="N14" s="1"/>
    </x:row>
    <x:row r="15" ht="15" hidden="0" customHeight="1">
      <x:c r="A15" s="1"/>
      <x:c r="B15" s="1"/>
      <x:c r="C15" s="48" t="str">
        <x:v>Variable cost</x:v>
      </x:c>
      <x:c r="D15" s="53" t="n">
        <x:f>D11*D14</x:f>
        <x:v>2400</x:v>
      </x:c>
      <x:c r="E15" s="53" t="n">
        <x:f>E11*E14</x:f>
        <x:v>7840</x:v>
      </x:c>
      <x:c r="F15" s="53" t="n">
        <x:f>F11*F14</x:f>
        <x:v>18240</x:v>
      </x:c>
      <x:c r="G15" s="53" t="n">
        <x:f>G11*G14</x:f>
        <x:v>37632</x:v>
      </x:c>
      <x:c r="H15" s="53" t="n">
        <x:f>H11*H14</x:f>
        <x:v>64800</x:v>
      </x:c>
      <x:c r="I15" s="53" t="n">
        <x:f>SUM(D15:H15)</x:f>
        <x:v>130912</x:v>
      </x:c>
      <x:c r="J15" s="1"/>
      <x:c r="K15" s="1"/>
      <x:c r="L15" s="1"/>
      <x:c r="M15" s="1"/>
      <x:c r="N15" s="1"/>
    </x:row>
    <x:row r="16" ht="15" hidden="0" customHeight="1">
      <x:c r="A16" s="1"/>
      <x:c r="B16" s="1"/>
      <x:c r="C16" s="48" t="str">
        <x:v>Direct cost per night</x:v>
      </x:c>
      <x:c r="D16" s="67" t="n">
        <x:v>250</x:v>
      </x:c>
      <x:c r="E16" s="67" t="n">
        <x:v>350</x:v>
      </x:c>
      <x:c r="F16" s="67" t="n">
        <x:v>500</x:v>
      </x:c>
      <x:c r="G16" s="67" t="n">
        <x:v>700</x:v>
      </x:c>
      <x:c r="H16" s="67" t="n">
        <x:v>835</x:v>
      </x:c>
      <x:c r="I16" s="53"/>
      <x:c r="J16" s="1"/>
      <x:c r="K16" s="1"/>
      <x:c r="L16" s="1"/>
      <x:c r="M16" s="1"/>
      <x:c r="N16" s="1"/>
    </x:row>
    <x:row r="17" ht="15" hidden="0" customHeight="1">
      <x:c r="A17" s="1"/>
      <x:c r="B17" s="1"/>
      <x:c r="C17" s="48" t="str">
        <x:v>Nightly direct cost</x:v>
      </x:c>
      <x:c r="D17" s="53" t="n">
        <x:f>D9*D16</x:f>
        <x:v>2000</x:v>
      </x:c>
      <x:c r="E17" s="53" t="n">
        <x:f>E9*E16</x:f>
        <x:v>5600</x:v>
      </x:c>
      <x:c r="F17" s="53" t="n">
        <x:f>F9*F16</x:f>
        <x:v>12000</x:v>
      </x:c>
      <x:c r="G17" s="53" t="n">
        <x:f>G9*G16</x:f>
        <x:v>22400</x:v>
      </x:c>
      <x:c r="H17" s="53" t="n">
        <x:f>H9*H16</x:f>
        <x:v>33400</x:v>
      </x:c>
      <x:c r="I17" s="53" t="n">
        <x:f>SUM(D17:H17)</x:f>
        <x:v>75400</x:v>
      </x:c>
      <x:c r="J17" s="1"/>
      <x:c r="K17" s="1"/>
      <x:c r="L17" s="1"/>
      <x:c r="M17" s="1"/>
      <x:c r="N17" s="1"/>
    </x:row>
    <x:row r="18" ht="15" hidden="0" customHeight="1">
      <x:c r="A18" s="1"/>
      <x:c r="B18" s="1"/>
      <x:c r="C18" s="48" t="str">
        <x:v>Annual fixed operating cost</x:v>
      </x:c>
      <x:c r="D18" s="67" t="n">
        <x:v>5000</x:v>
      </x:c>
      <x:c r="E18" s="67" t="n">
        <x:v>8000</x:v>
      </x:c>
      <x:c r="F18" s="67" t="n">
        <x:v>12000</x:v>
      </x:c>
      <x:c r="G18" s="67" t="n">
        <x:v>18000</x:v>
      </x:c>
      <x:c r="H18" s="67" t="n">
        <x:v>25000</x:v>
      </x:c>
      <x:c r="I18" s="53" t="n">
        <x:f>SUM(D18:H18)</x:f>
        <x:v>68000</x:v>
      </x:c>
      <x:c r="J18" s="1"/>
      <x:c r="K18" s="1"/>
      <x:c r="L18" s="1"/>
      <x:c r="M18" s="1"/>
      <x:c r="N18" s="1"/>
    </x:row>
    <x:row r="19" ht="15" hidden="0" customHeight="1">
      <x:c r="A19" s="1"/>
      <x:c r="B19" s="1"/>
      <x:c r="C19" s="75" t="str">
        <x:v>Operating contribution</x:v>
      </x:c>
      <x:c r="D19" s="76" t="n">
        <x:f>D13-D15-D17-D18</x:f>
        <x:v>-3800</x:v>
      </x:c>
      <x:c r="E19" s="76" t="n">
        <x:f>E13-E15-E17-E18</x:f>
        <x:v>-2400</x:v>
      </x:c>
      <x:c r="F19" s="76" t="n">
        <x:f>F13-F15-F17-F18</x:f>
        <x:v>3360</x:v>
      </x:c>
      <x:c r="G19" s="76" t="n">
        <x:f>G13-G15-G17-G18</x:f>
        <x:v>11568</x:v>
      </x:c>
      <x:c r="H19" s="76" t="n">
        <x:f>H13-H15-H17-H18</x:f>
        <x:v>28000</x:v>
      </x:c>
      <x:c r="I19" s="76" t="n">
        <x:f>SUM(D19:H19)</x:f>
        <x:v>36728</x:v>
      </x:c>
      <x:c r="J19" s="1"/>
      <x:c r="K19" s="1"/>
      <x:c r="L19" s="1"/>
      <x:c r="M19" s="1"/>
      <x:c r="N19" s="1"/>
    </x:row>
    <x:row r="20" ht="15" hidden="0" customHeight="1">
      <x:c r="A20" s="1"/>
      <x:c r="B20" s="1"/>
      <x:c r="C20" s="75" t="str">
        <x:v>Operating contribution margin</x:v>
      </x:c>
      <x:c r="D20" s="77" t="n">
        <x:f>IF(D13=0,"n.a.",D19/D13)</x:f>
        <x:v>-0.6785714285714286</x:v>
      </x:c>
      <x:c r="E20" s="77" t="n">
        <x:f>IF(E13=0,"n.a.",E19/E13)</x:f>
        <x:v>-0.12605042016806722</x:v>
      </x:c>
      <x:c r="F20" s="77" t="n">
        <x:f>IF(F13=0,"n.a.",F19/F13)</x:f>
        <x:v>0.07368421052631578</x:v>
      </x:c>
      <x:c r="G20" s="77" t="n">
        <x:f>IF(G13=0,"n.a.",G19/G13)</x:f>
        <x:v>0.12910714285714286</x:v>
      </x:c>
      <x:c r="H20" s="77" t="n">
        <x:f>IF(H13=0,"n.a.",H19/H13)</x:f>
        <x:v>0.18518518518518517</x:v>
      </x:c>
      <x:c r="I20" s="77" t="n">
        <x:f>IF(I13=0,"n.a.",I19/I13)</x:f>
        <x:v>0.11808127572016461</x:v>
      </x:c>
      <x:c r="J20" s="1"/>
      <x:c r="K20" s="1"/>
      <x:c r="L20" s="1"/>
      <x:c r="M20" s="1"/>
      <x:c r="N20" s="1"/>
    </x:row>
    <x:row r="21" ht="15" hidden="0" customHeight="1">
      <x:c r="A21" s="1"/>
      <x:c r="B21" s="1"/>
      <x:c r="C21" s="48" t="str">
        <x:v>Capital spending</x:v>
      </x:c>
      <x:c r="D21" s="67" t="n">
        <x:v>10000</x:v>
      </x:c>
      <x:c r="E21" s="67" t="n">
        <x:v>15000</x:v>
      </x:c>
      <x:c r="F21" s="67" t="n">
        <x:v>25000</x:v>
      </x:c>
      <x:c r="G21" s="67" t="n">
        <x:v>360000</x:v>
      </x:c>
      <x:c r="H21" s="67" t="n">
        <x:v>20000</x:v>
      </x:c>
      <x:c r="I21" s="53" t="n">
        <x:f>SUM(D21:H21)</x:f>
        <x:v>430000</x:v>
      </x:c>
      <x:c r="J21" s="1"/>
      <x:c r="K21" s="1"/>
      <x:c r="L21" s="1"/>
      <x:c r="M21" s="1"/>
      <x:c r="N21" s="1"/>
    </x:row>
    <x:row r="22" ht="15" hidden="0" customHeight="1">
      <x:c r="A22" s="1"/>
      <x:c r="B22" s="1"/>
      <x:c r="C22" s="48" t="str">
        <x:v>Appraised value contribution</x:v>
      </x:c>
      <x:c r="D22" s="67" t="n">
        <x:v>0</x:v>
      </x:c>
      <x:c r="E22" s="67" t="n">
        <x:v>0</x:v>
      </x:c>
      <x:c r="F22" s="67" t="n">
        <x:v>0</x:v>
      </x:c>
      <x:c r="G22" s="67" t="n">
        <x:v>172000</x:v>
      </x:c>
      <x:c r="H22" s="67" t="n">
        <x:v>0</x:v>
      </x:c>
      <x:c r="I22" s="53" t="n">
        <x:f>SUM(D22:H22)</x:f>
        <x:v>172000</x:v>
      </x:c>
      <x:c r="J22" s="1"/>
      <x:c r="K22" s="1"/>
      <x:c r="L22" s="1"/>
      <x:c r="M22" s="1"/>
      <x:c r="N22" s="1"/>
    </x:row>
    <x:row r="23" ht="15" hidden="0" customHeight="1">
      <x:c r="A23" s="1"/>
      <x:c r="B23" s="1"/>
      <x:c r="C23" s="48" t="str">
        <x:v>Net capital not reflected in value</x:v>
      </x:c>
      <x:c r="D23" s="53" t="n">
        <x:f>MAX(0,D21-D22)</x:f>
        <x:v>10000</x:v>
      </x:c>
      <x:c r="E23" s="53" t="n">
        <x:f>MAX(0,E21-E22)</x:f>
        <x:v>15000</x:v>
      </x:c>
      <x:c r="F23" s="53" t="n">
        <x:f>MAX(0,F21-F22)</x:f>
        <x:v>25000</x:v>
      </x:c>
      <x:c r="G23" s="53" t="n">
        <x:f>MAX(0,G21-G22)</x:f>
        <x:v>188000</x:v>
      </x:c>
      <x:c r="H23" s="53" t="n">
        <x:f>MAX(0,H21-H22)</x:f>
        <x:v>20000</x:v>
      </x:c>
      <x:c r="I23" s="53" t="n">
        <x:f>SUM(D23:H23)</x:f>
        <x:v>258000</x:v>
      </x:c>
      <x:c r="J23" s="1"/>
      <x:c r="K23" s="1"/>
      <x:c r="L23" s="1"/>
      <x:c r="M23" s="1"/>
      <x:c r="N23" s="1"/>
    </x:row>
    <x:row r="24" ht="15" hidden="0" customHeight="1">
      <x:c r="A24" s="1"/>
      <x:c r="B24" s="1"/>
      <x:c r="C24" s="48" t="str">
        <x:v>Annual capital recovery target</x:v>
      </x:c>
      <x:c r="D24" s="78" t="n">
        <x:f>D23/Assumptions!$D$17</x:f>
        <x:v>2000</x:v>
      </x:c>
      <x:c r="E24" s="78" t="n">
        <x:f>E23/Assumptions!$D$17</x:f>
        <x:v>3000</x:v>
      </x:c>
      <x:c r="F24" s="78" t="n">
        <x:f>F23/Assumptions!$D$17</x:f>
        <x:v>5000</x:v>
      </x:c>
      <x:c r="G24" s="78" t="n">
        <x:f>G23/Assumptions!$D$17</x:f>
        <x:v>37600</x:v>
      </x:c>
      <x:c r="H24" s="78" t="n">
        <x:f>H23/Assumptions!$D$17</x:f>
        <x:v>4000</x:v>
      </x:c>
      <x:c r="I24" s="53" t="n">
        <x:f>SUM(D24:H24)</x:f>
        <x:v>51600</x:v>
      </x:c>
      <x:c r="J24" s="1"/>
      <x:c r="K24" s="1"/>
      <x:c r="L24" s="1"/>
      <x:c r="M24" s="1"/>
      <x:c r="N24" s="1"/>
    </x:row>
    <x:row r="25" ht="15" hidden="0" customHeight="1">
      <x:c r="A25" s="1"/>
      <x:c r="B25" s="1"/>
      <x:c r="C25" s="79" t="str">
        <x:v>Cash after capital spending</x:v>
      </x:c>
      <x:c r="D25" s="80" t="n">
        <x:f>D19-D21</x:f>
        <x:v>-13800</x:v>
      </x:c>
      <x:c r="E25" s="80" t="n">
        <x:f>E19-E21</x:f>
        <x:v>-17400</x:v>
      </x:c>
      <x:c r="F25" s="80" t="n">
        <x:f>F19-F21</x:f>
        <x:v>-21640</x:v>
      </x:c>
      <x:c r="G25" s="80" t="n">
        <x:f>G19-G21</x:f>
        <x:v>-348432</x:v>
      </x:c>
      <x:c r="H25" s="80" t="n">
        <x:f>H19-H21</x:f>
        <x:v>8000</x:v>
      </x:c>
      <x:c r="I25" s="80" t="n">
        <x:f>SUM(D25:H25)</x:f>
        <x:v>-393272</x:v>
      </x:c>
      <x:c r="J25" s="1"/>
      <x:c r="K25" s="1"/>
      <x:c r="L25" s="1"/>
      <x:c r="M25" s="1"/>
      <x:c r="N25" s="1"/>
    </x:row>
    <x:row r="26" ht="15" hidden="0" customHeight="1">
      <x:c r="A26" s="1"/>
      <x:c r="B26" s="1"/>
      <x:c r="C26" s="79" t="str">
        <x:v>Cumulative cash after capital</x:v>
      </x:c>
      <x:c r="D26" s="80" t="n">
        <x:f>D25</x:f>
        <x:v>-13800</x:v>
      </x:c>
      <x:c r="E26" s="80" t="n">
        <x:f>D26+E25</x:f>
        <x:v>-31200</x:v>
      </x:c>
      <x:c r="F26" s="80" t="n">
        <x:f>E26+F25</x:f>
        <x:v>-52840</x:v>
      </x:c>
      <x:c r="G26" s="80" t="n">
        <x:f>F26+G25</x:f>
        <x:v>-401272</x:v>
      </x:c>
      <x:c r="H26" s="80" t="n">
        <x:f>G26+H25</x:f>
        <x:v>-393272</x:v>
      </x:c>
      <x:c r="I26" s="80" t="n">
        <x:f>H26</x:f>
        <x:v>-393272</x:v>
      </x:c>
      <x:c r="J26" s="1"/>
      <x:c r="K26" s="1"/>
      <x:c r="L26" s="1"/>
      <x:c r="M26" s="1"/>
      <x:c r="N26" s="1"/>
    </x:row>
    <x:row r="27" ht="15" hidden="0" customHeight="1">
      <x:c r="A27" s="1"/>
      <x:c r="B27" s="1"/>
      <x:c r="C27" s="59" t="str">
        <x:v>Break-even covers per night</x:v>
      </x:c>
      <x:c r="D27" s="81" t="n">
        <x:f>IF(OR(D9=0,D12&lt;=D14),"n.a.",(D17+D18+D24)/(D9*(D12-D14)))</x:f>
        <x:v>28.125</x:v>
      </x:c>
      <x:c r="E27" s="81" t="n">
        <x:f>IF(OR(E9=0,E12&lt;=E14),"n.a.",(E17+E18+E24)/(E9*(E12-E14)))</x:f>
        <x:v>20.75</x:v>
      </x:c>
      <x:c r="F27" s="81" t="n">
        <x:f>IF(OR(F9=0,F12&lt;=F14),"n.a.",(F17+F18+F24)/(F9*(F12-F14)))</x:f>
        <x:v>21.198830409356724</x:v>
      </x:c>
      <x:c r="G27" s="81" t="n">
        <x:f>IF(OR(G9=0,G12&lt;=G14),"n.a.",(G17+G18+G24)/(G9*(G12-G14)))</x:f>
        <x:v>42.025862068965516</x:v>
      </x:c>
      <x:c r="H27" s="81" t="n">
        <x:f>IF(OR(H9=0,H12&lt;=H14),"n.a.",(H17+H18+H24)/(H9*(H12-H14)))</x:f>
        <x:v>26</x:v>
      </x:c>
      <x:c r="I27" s="48"/>
      <x:c r="J27" s="1"/>
      <x:c r="K27" s="1"/>
      <x:c r="L27" s="1"/>
      <x:c r="M27" s="1"/>
      <x:c r="N27" s="1"/>
    </x:row>
    <x:row r="28" ht="15" hidden="0" customHeight="1">
      <x:c r="A28" s="1"/>
      <x:c r="B28" s="1"/>
      <x:c r="C28" s="57" t="str">
        <x:v>Capacity at 40 covers/night</x:v>
      </x:c>
      <x:c r="D28" s="82" t="n">
        <x:f>D10/40</x:f>
        <x:v>0.25</x:v>
      </x:c>
      <x:c r="E28" s="82" t="n">
        <x:f>E10/40</x:f>
        <x:v>0.35</x:v>
      </x:c>
      <x:c r="F28" s="82" t="n">
        <x:f>F10/40</x:f>
        <x:v>0.5</x:v>
      </x:c>
      <x:c r="G28" s="82" t="n">
        <x:f>G10/40</x:f>
        <x:v>0.7</x:v>
      </x:c>
      <x:c r="H28" s="82" t="n">
        <x:f>H10/40</x:f>
        <x:v>0.9</x:v>
      </x:c>
      <x:c r="I28" s="82" t="n">
        <x:f>H28</x:f>
        <x:v>0.9</x:v>
      </x:c>
      <x:c r="J28" s="1"/>
      <x:c r="K28" s="1"/>
      <x:c r="L28" s="1"/>
      <x:c r="M28" s="1"/>
      <x:c r="N28" s="1"/>
    </x:row>
    <x:row r="29" ht="15" hidden="0" customHeight="1">
      <x:c r="A29" s="1"/>
      <x:c r="B29" s="1"/>
      <x:c r="C29" s="48"/>
      <x:c r="D29" s="48"/>
      <x:c r="E29" s="48"/>
      <x:c r="F29" s="48"/>
      <x:c r="G29" s="48"/>
      <x:c r="H29" s="48"/>
      <x:c r="I29" s="48"/>
      <x:c r="J29" s="1"/>
      <x:c r="K29" s="1"/>
      <x:c r="L29" s="1"/>
      <x:c r="M29" s="1"/>
      <x:c r="N29" s="1"/>
    </x:row>
    <x:row r="30" ht="15" hidden="0" customHeight="1">
      <x:c r="A30" s="1"/>
      <x:c r="B30" s="1"/>
      <x:c r="C30" s="48"/>
      <x:c r="D30" s="48"/>
      <x:c r="E30" s="48"/>
      <x:c r="F30" s="48"/>
      <x:c r="G30" s="48"/>
      <x:c r="H30" s="48"/>
      <x:c r="I30" s="48"/>
      <x:c r="J30" s="1"/>
      <x:c r="K30" s="1"/>
      <x:c r="L30" s="1"/>
      <x:c r="M30" s="1"/>
      <x:c r="N30" s="1"/>
    </x:row>
    <x:row r="31" ht="15" hidden="0" customHeight="1">
      <x:c r="A31" s="1"/>
      <x:c r="B31" s="1"/>
      <x:c r="C31" s="48"/>
      <x:c r="D31" s="48"/>
      <x:c r="E31" s="48"/>
      <x:c r="F31" s="48"/>
      <x:c r="G31" s="48"/>
      <x:c r="H31" s="48"/>
      <x:c r="I31" s="48"/>
      <x:c r="J31" s="1"/>
      <x:c r="K31" s="1"/>
      <x:c r="L31" s="1"/>
      <x:c r="M31" s="1"/>
      <x:c r="N31" s="1"/>
    </x:row>
    <x:row r="32" ht="15" hidden="0" customHeight="1">
      <x:c r="A32" s="1"/>
      <x:c r="B32" s="1"/>
      <x:c r="C32" s="48"/>
      <x:c r="D32" s="48"/>
      <x:c r="E32" s="48"/>
      <x:c r="F32" s="48"/>
      <x:c r="G32" s="48"/>
      <x:c r="H32" s="48"/>
      <x:c r="I32" s="48"/>
      <x:c r="J32" s="1"/>
      <x:c r="K32" s="1"/>
      <x:c r="L32" s="1"/>
      <x:c r="M32" s="1"/>
      <x:c r="N32" s="1"/>
    </x:row>
    <x:row r="33" ht="15" hidden="0" customHeight="1">
      <x:c r="A33" s="1"/>
      <x:c r="B33" s="1"/>
      <x:c r="C33" s="48"/>
      <x:c r="D33" s="48"/>
      <x:c r="E33" s="48"/>
      <x:c r="F33" s="48"/>
      <x:c r="G33" s="48"/>
      <x:c r="H33" s="48"/>
      <x:c r="I33" s="48"/>
      <x:c r="J33" s="1"/>
      <x:c r="K33" s="1"/>
      <x:c r="L33" s="1"/>
      <x:c r="M33" s="1"/>
      <x:c r="N33" s="1"/>
    </x:row>
    <x:row r="34" ht="15" hidden="0" customHeight="1">
      <x:c r="A34" s="1"/>
      <x:c r="B34" s="1"/>
      <x:c r="C34" s="48"/>
      <x:c r="D34" s="48"/>
      <x:c r="E34" s="48"/>
      <x:c r="F34" s="48"/>
      <x:c r="G34" s="48"/>
      <x:c r="H34" s="48"/>
      <x:c r="I34" s="48"/>
      <x:c r="J34" s="1"/>
      <x:c r="K34" s="1"/>
      <x:c r="L34" s="1"/>
      <x:c r="M34" s="1"/>
      <x:c r="N34" s="1"/>
    </x:row>
    <x:row r="35" ht="15" hidden="0" customHeight="1">
      <x:c r="A35" s="1"/>
      <x:c r="B35" s="1"/>
      <x:c r="C35" s="48"/>
      <x:c r="D35" s="48"/>
      <x:c r="E35" s="48"/>
      <x:c r="F35" s="48"/>
      <x:c r="G35" s="48"/>
      <x:c r="H35" s="48"/>
      <x:c r="I35" s="48"/>
      <x:c r="J35" s="1"/>
      <x:c r="K35" s="1"/>
      <x:c r="L35" s="1"/>
      <x:c r="M35" s="1"/>
      <x:c r="N35" s="1"/>
    </x:row>
    <x:row r="36" ht="15" hidden="0" customHeight="1">
      <x:c r="A36" s="1"/>
      <x:c r="B36" s="1"/>
      <x:c r="C36" s="48"/>
      <x:c r="D36" s="48"/>
      <x:c r="E36" s="48"/>
      <x:c r="F36" s="48"/>
      <x:c r="G36" s="48"/>
      <x:c r="H36" s="48"/>
      <x:c r="I36" s="48"/>
      <x:c r="J36" s="1"/>
      <x:c r="K36" s="1"/>
      <x:c r="L36" s="1"/>
      <x:c r="M36" s="1"/>
      <x:c r="N36" s="1"/>
    </x:row>
    <x:row r="37" ht="15" hidden="0" customHeight="1">
      <x:c r="A37" s="1"/>
      <x:c r="B37" s="1"/>
      <x:c r="C37" s="48"/>
      <x:c r="D37" s="48"/>
      <x:c r="E37" s="48"/>
      <x:c r="F37" s="48"/>
      <x:c r="G37" s="48"/>
      <x:c r="H37" s="48"/>
      <x:c r="I37" s="48"/>
      <x:c r="J37" s="1"/>
      <x:c r="K37" s="1"/>
      <x:c r="L37" s="1"/>
      <x:c r="M37" s="1"/>
      <x:c r="N37" s="1"/>
    </x:row>
    <x:row r="38" ht="15" hidden="0" customHeight="1">
      <x:c r="A38" s="1"/>
      <x:c r="B38" s="1"/>
      <x:c r="C38" s="48"/>
      <x:c r="D38" s="48"/>
      <x:c r="E38" s="48"/>
      <x:c r="F38" s="48"/>
      <x:c r="G38" s="48"/>
      <x:c r="H38" s="48"/>
      <x:c r="I38" s="48"/>
      <x:c r="J38" s="1"/>
      <x:c r="K38" s="1"/>
      <x:c r="L38" s="1"/>
      <x:c r="M38" s="1"/>
      <x:c r="N38" s="1"/>
    </x:row>
    <x:row r="39" ht="15" hidden="0" customHeight="1">
      <x:c r="A39" s="1"/>
      <x:c r="B39" s="1"/>
      <x:c r="C39" s="48"/>
      <x:c r="D39" s="48"/>
      <x:c r="E39" s="48"/>
      <x:c r="F39" s="48"/>
      <x:c r="G39" s="48"/>
      <x:c r="H39" s="48"/>
      <x:c r="I39" s="48"/>
      <x:c r="J39" s="1"/>
      <x:c r="K39" s="1"/>
      <x:c r="L39" s="1"/>
      <x:c r="M39" s="1"/>
      <x:c r="N39" s="1"/>
    </x:row>
    <x:row r="40" ht="15" hidden="0" customHeight="1">
      <x:c r="A40" s="1"/>
      <x:c r="B40" s="1"/>
      <x:c r="C40" s="48"/>
      <x:c r="D40" s="48"/>
      <x:c r="E40" s="48"/>
      <x:c r="F40" s="48"/>
      <x:c r="G40" s="48"/>
      <x:c r="H40" s="48"/>
      <x:c r="I40" s="48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pageMargins left="0.7" right="0.7" top="0.75" bottom="0.75" header="0.3" footer="0.3"/>
</x:worksheet>
</file>